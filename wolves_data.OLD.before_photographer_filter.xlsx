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נתוני זיהוי זאבים (2)" sheetId="1" state="visible" r:id="rId1"/>
    <sheet name="נתוני זיהוי זאבים" sheetId="2" state="hidden" r:id="rId2"/>
    <sheet name="גרפי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theme="1"/>
      <sz val="11"/>
      <scheme val="minor"/>
    </font>
    <font>
      <name val="Arial"/>
      <color theme="1"/>
      <sz val="11"/>
    </font>
    <font>
      <name val="Arial"/>
      <b val="1"/>
      <color rgb="FFFA7D00"/>
      <sz val="11"/>
    </font>
    <font>
      <name val="Arial"/>
      <color theme="1"/>
      <scheme val="minor"/>
    </font>
    <font>
      <name val="Arial"/>
      <color rgb="FF9C0006"/>
      <sz val="11"/>
    </font>
    <font>
      <name val="Arial"/>
      <color rgb="FF3F3F76"/>
      <sz val="11"/>
    </font>
  </fonts>
  <fills count="22">
    <fill>
      <patternFill/>
    </fill>
    <fill>
      <patternFill patternType="lightGray"/>
    </fill>
    <fill>
      <patternFill patternType="solid">
        <fgColor rgb="FFFFCCFF"/>
        <bgColor rgb="FFFFCCFF"/>
      </patternFill>
    </fill>
    <fill>
      <patternFill patternType="solid">
        <fgColor rgb="FFFFCCCC"/>
        <bgColor rgb="FFFFCCCC"/>
      </patternFill>
    </fill>
    <fill>
      <patternFill patternType="solid">
        <fgColor rgb="FF2E75B5"/>
        <bgColor rgb="FF2E75B5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rgb="FFFFFFCC"/>
      </patternFill>
    </fill>
    <fill>
      <patternFill patternType="solid">
        <fgColor rgb="FF0070C0"/>
        <bgColor rgb="FF0070C0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rgb="FFCCFFFF"/>
        <bgColor rgb="FFCCFFFF"/>
      </patternFill>
    </fill>
    <fill>
      <patternFill patternType="solid">
        <fgColor rgb="FFCCCCFF"/>
        <bgColor rgb="FFCCCCFF"/>
      </patternFill>
    </fill>
    <fill>
      <patternFill patternType="solid">
        <fgColor rgb="FFFFE0CD"/>
        <bgColor rgb="FFFFE0CD"/>
      </patternFill>
    </fill>
    <fill>
      <patternFill patternType="solid">
        <fgColor rgb="FFFFC7CE"/>
        <bgColor rgb="FFFFC7CE"/>
      </patternFill>
    </fill>
    <fill>
      <patternFill patternType="solid">
        <fgColor rgb="FFFFCC99"/>
        <bgColor rgb="FFFFCC99"/>
      </patternFill>
    </fill>
    <fill>
      <patternFill patternType="solid">
        <fgColor rgb="FFCCFFCC"/>
        <bgColor rgb="FFCCFFCC"/>
      </patternFill>
    </fill>
    <fill>
      <patternFill patternType="solid">
        <fgColor rgb="FFF7CAAC"/>
        <bgColor rgb="FFF7CAAC"/>
      </patternFill>
    </fill>
    <fill>
      <patternFill patternType="solid">
        <fgColor rgb="FFF4B083"/>
        <bgColor rgb="FFF4B083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</border>
    <border>
      <left/>
      <top/>
      <bottom/>
    </border>
    <border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right style="thin">
        <color rgb="FF000000"/>
      </right>
      <bottom/>
    </border>
    <border>
      <left/>
      <right/>
      <bottom/>
    </border>
    <border>
      <left/>
      <right style="thin">
        <color rgb="FF000000"/>
      </right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7F7F7F"/>
      </left>
      <right style="thin">
        <color rgb="FF7F7F7F"/>
      </right>
      <top/>
      <bottom style="thin">
        <color rgb="FF7F7F7F"/>
      </bottom>
    </border>
    <border>
      <left/>
      <right style="thin">
        <color rgb="FF000000"/>
      </right>
      <top/>
      <bottom/>
    </border>
  </borders>
  <cellStyleXfs count="1">
    <xf numFmtId="0" fontId="0" fillId="0" borderId="0"/>
  </cellStyleXfs>
  <cellXfs count="11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3" borderId="1" pivotButton="0" quotePrefix="0" xfId="0"/>
    <xf numFmtId="0" fontId="1" fillId="4" borderId="2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/>
    </xf>
    <xf numFmtId="0" fontId="1" fillId="4" borderId="2" pivotButton="0" quotePrefix="0" xfId="0"/>
    <xf numFmtId="0" fontId="1" fillId="4" borderId="2" pivotButton="0" quotePrefix="0" xfId="0"/>
    <xf numFmtId="0" fontId="2" fillId="5" borderId="3" pivotButton="0" quotePrefix="0" xfId="0"/>
    <xf numFmtId="0" fontId="2" fillId="0" borderId="3" pivotButton="0" quotePrefix="0" xfId="0"/>
    <xf numFmtId="0" fontId="1" fillId="0" borderId="1" pivotButton="0" quotePrefix="0" xfId="0"/>
    <xf numFmtId="0" fontId="1" fillId="0" borderId="4" pivotButton="0" quotePrefix="0" xfId="0"/>
    <xf numFmtId="0" fontId="1" fillId="6" borderId="5" pivotButton="0" quotePrefix="0" xfId="0"/>
    <xf numFmtId="0" fontId="1" fillId="6" borderId="6" pivotButton="0" quotePrefix="0" xfId="0"/>
    <xf numFmtId="0" fontId="1" fillId="7" borderId="2" applyAlignment="1" pivotButton="0" quotePrefix="0" xfId="0">
      <alignment horizontal="center" vertical="center"/>
    </xf>
    <xf numFmtId="0" fontId="1" fillId="7" borderId="2" applyAlignment="1" pivotButton="0" quotePrefix="0" xfId="0">
      <alignment horizontal="center"/>
    </xf>
    <xf numFmtId="0" fontId="1" fillId="7" borderId="2" pivotButton="0" quotePrefix="0" xfId="0"/>
    <xf numFmtId="0" fontId="1" fillId="7" borderId="5" pivotButton="0" quotePrefix="0" xfId="0"/>
    <xf numFmtId="0" fontId="1" fillId="7" borderId="2" pivotButton="0" quotePrefix="0" xfId="0"/>
    <xf numFmtId="0" fontId="1" fillId="8" borderId="6" pivotButton="0" quotePrefix="0" xfId="0"/>
    <xf numFmtId="0" fontId="1" fillId="0" borderId="7" pivotButton="0" quotePrefix="0" xfId="0"/>
    <xf numFmtId="0" fontId="1" fillId="8" borderId="8" pivotButton="0" quotePrefix="0" xfId="0"/>
    <xf numFmtId="0" fontId="1" fillId="0" borderId="9" pivotButton="0" quotePrefix="0" xfId="0"/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1" fillId="8" borderId="5" pivotButton="0" quotePrefix="0" xfId="0"/>
    <xf numFmtId="0" fontId="1" fillId="9" borderId="1" pivotButton="0" quotePrefix="0" xfId="0"/>
    <xf numFmtId="0" fontId="1" fillId="0" borderId="0" applyAlignment="1" pivotButton="0" quotePrefix="0" xfId="0">
      <alignment horizontal="left"/>
    </xf>
    <xf numFmtId="0" fontId="1" fillId="7" borderId="6" pivotButton="0" quotePrefix="0" xfId="0"/>
    <xf numFmtId="0" fontId="1" fillId="0" borderId="0" pivotButton="0" quotePrefix="0" xfId="0"/>
    <xf numFmtId="0" fontId="1" fillId="10" borderId="8" pivotButton="0" quotePrefix="0" xfId="0"/>
    <xf numFmtId="0" fontId="1" fillId="10" borderId="5" pivotButton="0" quotePrefix="0" xfId="0"/>
    <xf numFmtId="0" fontId="1" fillId="9" borderId="6" pivotButton="0" quotePrefix="0" xfId="0"/>
    <xf numFmtId="0" fontId="1" fillId="9" borderId="10" pivotButton="0" quotePrefix="0" xfId="0"/>
    <xf numFmtId="0" fontId="1" fillId="11" borderId="2" applyAlignment="1" pivotButton="0" quotePrefix="0" xfId="0">
      <alignment horizontal="center" vertical="center"/>
    </xf>
    <xf numFmtId="0" fontId="1" fillId="11" borderId="2" applyAlignment="1" pivotButton="0" quotePrefix="0" xfId="0">
      <alignment horizontal="center" vertical="center"/>
    </xf>
    <xf numFmtId="0" fontId="1" fillId="11" borderId="2" applyAlignment="1" pivotButton="0" quotePrefix="0" xfId="0">
      <alignment horizontal="center"/>
    </xf>
    <xf numFmtId="0" fontId="1" fillId="11" borderId="2" pivotButton="0" quotePrefix="0" xfId="0"/>
    <xf numFmtId="0" fontId="1" fillId="11" borderId="11" pivotButton="0" quotePrefix="0" xfId="0"/>
    <xf numFmtId="0" fontId="1" fillId="11" borderId="12" pivotButton="0" quotePrefix="0" xfId="0"/>
    <xf numFmtId="0" fontId="1" fillId="11" borderId="0" applyAlignment="1" pivotButton="0" quotePrefix="0" xfId="0">
      <alignment horizontal="left" vertical="center"/>
    </xf>
    <xf numFmtId="0" fontId="1" fillId="11" borderId="13" pivotButton="0" quotePrefix="0" xfId="0"/>
    <xf numFmtId="0" fontId="1" fillId="11" borderId="2" pivotButton="0" quotePrefix="0" xfId="0"/>
    <xf numFmtId="0" fontId="1" fillId="12" borderId="2" applyAlignment="1" pivotButton="0" quotePrefix="0" xfId="0">
      <alignment horizontal="center" vertical="bottom"/>
    </xf>
    <xf numFmtId="0" fontId="1" fillId="12" borderId="2" applyAlignment="1" pivotButton="0" quotePrefix="0" xfId="0">
      <alignment horizontal="center" vertical="bottom"/>
    </xf>
    <xf numFmtId="0" fontId="1" fillId="11" borderId="2" applyAlignment="1" pivotButton="0" quotePrefix="0" xfId="0">
      <alignment horizontal="center"/>
    </xf>
    <xf numFmtId="0" fontId="1" fillId="11" borderId="2" pivotButton="0" quotePrefix="0" xfId="0"/>
    <xf numFmtId="0" fontId="1" fillId="11" borderId="0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/>
    </xf>
    <xf numFmtId="0" fontId="1" fillId="11" borderId="0" pivotButton="0" quotePrefix="0" xfId="0"/>
    <xf numFmtId="0" fontId="1" fillId="11" borderId="14" pivotButton="0" quotePrefix="0" xfId="0"/>
    <xf numFmtId="0" fontId="1" fillId="11" borderId="15" applyAlignment="1" pivotButton="0" quotePrefix="0" xfId="0">
      <alignment horizontal="left" vertical="center"/>
    </xf>
    <xf numFmtId="0" fontId="1" fillId="11" borderId="0" pivotButton="0" quotePrefix="0" xfId="0"/>
    <xf numFmtId="0" fontId="1" fillId="13" borderId="0" applyAlignment="1" pivotButton="0" quotePrefix="0" xfId="0">
      <alignment horizontal="center" vertical="bottom"/>
    </xf>
    <xf numFmtId="0" fontId="1" fillId="13" borderId="0" applyAlignment="1" pivotButton="0" quotePrefix="0" xfId="0">
      <alignment horizontal="center" vertical="bottom"/>
    </xf>
    <xf numFmtId="0" fontId="1" fillId="13" borderId="0" applyAlignment="1" pivotButton="0" quotePrefix="0" xfId="0">
      <alignment vertical="bottom"/>
    </xf>
    <xf numFmtId="0" fontId="1" fillId="11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14" borderId="5" pivotButton="0" quotePrefix="0" xfId="0"/>
    <xf numFmtId="0" fontId="1" fillId="14" borderId="6" pivotButton="0" quotePrefix="0" xfId="0"/>
    <xf numFmtId="0" fontId="1" fillId="9" borderId="2" applyAlignment="1" pivotButton="0" quotePrefix="0" xfId="0">
      <alignment horizontal="center" vertical="center"/>
    </xf>
    <xf numFmtId="0" fontId="1" fillId="9" borderId="2" applyAlignment="1" pivotButton="0" quotePrefix="0" xfId="0">
      <alignment horizontal="center"/>
    </xf>
    <xf numFmtId="0" fontId="1" fillId="9" borderId="2" pivotButton="0" quotePrefix="0" xfId="0"/>
    <xf numFmtId="0" fontId="1" fillId="9" borderId="16" pivotButton="0" quotePrefix="0" xfId="0"/>
    <xf numFmtId="0" fontId="1" fillId="9" borderId="2" pivotButton="0" quotePrefix="0" xfId="0"/>
    <xf numFmtId="0" fontId="1" fillId="15" borderId="5" pivotButton="0" quotePrefix="0" xfId="0"/>
    <xf numFmtId="0" fontId="1" fillId="0" borderId="17" pivotButton="0" quotePrefix="0" xfId="0"/>
    <xf numFmtId="0" fontId="2" fillId="5" borderId="18" pivotButton="0" quotePrefix="0" xfId="0"/>
    <xf numFmtId="0" fontId="1" fillId="16" borderId="19" pivotButton="0" quotePrefix="0" xfId="0"/>
    <xf numFmtId="0" fontId="1" fillId="0" borderId="1" applyAlignment="1" pivotButton="0" quotePrefix="0" xfId="0">
      <alignment horizontal="left" vertical="center"/>
    </xf>
    <xf numFmtId="0" fontId="1" fillId="16" borderId="8" pivotButton="0" quotePrefix="0" xfId="0"/>
    <xf numFmtId="0" fontId="1" fillId="16" borderId="5" pivotButton="0" quotePrefix="0" xfId="0"/>
    <xf numFmtId="0" fontId="2" fillId="5" borderId="20" pivotButton="0" quotePrefix="0" xfId="0"/>
    <xf numFmtId="0" fontId="1" fillId="3" borderId="8" pivotButton="0" quotePrefix="0" xfId="0"/>
    <xf numFmtId="0" fontId="1" fillId="3" borderId="5" pivotButton="0" quotePrefix="0" xfId="0"/>
    <xf numFmtId="0" fontId="4" fillId="17" borderId="2" pivotButton="0" quotePrefix="0" xfId="0"/>
    <xf numFmtId="0" fontId="1" fillId="18" borderId="6" pivotButton="0" quotePrefix="0" xfId="0"/>
    <xf numFmtId="0" fontId="1" fillId="18" borderId="5" pivotButton="0" quotePrefix="0" xfId="0"/>
    <xf numFmtId="0" fontId="5" fillId="18" borderId="3" pivotButton="0" quotePrefix="0" xfId="0"/>
    <xf numFmtId="0" fontId="1" fillId="10" borderId="2" applyAlignment="1" pivotButton="0" quotePrefix="0" xfId="0">
      <alignment horizontal="center" vertical="center"/>
    </xf>
    <xf numFmtId="0" fontId="1" fillId="10" borderId="2" applyAlignment="1" pivotButton="0" quotePrefix="0" xfId="0">
      <alignment horizontal="center"/>
    </xf>
    <xf numFmtId="0" fontId="1" fillId="10" borderId="2" pivotButton="0" quotePrefix="0" xfId="0"/>
    <xf numFmtId="0" fontId="1" fillId="10" borderId="6" pivotButton="0" quotePrefix="0" xfId="0"/>
    <xf numFmtId="0" fontId="1" fillId="10" borderId="2" pivotButton="0" quotePrefix="0" xfId="0"/>
    <xf numFmtId="0" fontId="1" fillId="19" borderId="8" pivotButton="0" quotePrefix="0" xfId="0"/>
    <xf numFmtId="0" fontId="1" fillId="19" borderId="5" pivotButton="0" quotePrefix="0" xfId="0"/>
    <xf numFmtId="0" fontId="1" fillId="20" borderId="2" applyAlignment="1" pivotButton="0" quotePrefix="0" xfId="0">
      <alignment horizontal="center" vertical="center"/>
    </xf>
    <xf numFmtId="0" fontId="1" fillId="20" borderId="2" applyAlignment="1" pivotButton="0" quotePrefix="0" xfId="0">
      <alignment horizontal="center"/>
    </xf>
    <xf numFmtId="0" fontId="1" fillId="20" borderId="2" pivotButton="0" quotePrefix="0" xfId="0"/>
    <xf numFmtId="0" fontId="1" fillId="20" borderId="1" pivotButton="0" quotePrefix="0" xfId="0"/>
    <xf numFmtId="0" fontId="1" fillId="20" borderId="2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1" fillId="21" borderId="2" applyAlignment="1" pivotButton="0" quotePrefix="0" xfId="0">
      <alignment horizontal="center" vertical="center"/>
    </xf>
    <xf numFmtId="0" fontId="1" fillId="6" borderId="1" pivotButton="0" quotePrefix="0" xfId="0"/>
    <xf numFmtId="0" fontId="1" fillId="21" borderId="2" pivotButton="0" quotePrefix="0" xfId="0"/>
    <xf numFmtId="0" fontId="1" fillId="9" borderId="8" pivotButton="0" quotePrefix="0" xfId="0"/>
    <xf numFmtId="0" fontId="1" fillId="14" borderId="8" pivotButton="0" quotePrefix="0" xfId="0"/>
    <xf numFmtId="0" fontId="1" fillId="7" borderId="8" pivotButton="0" quotePrefix="0" xfId="0"/>
    <xf numFmtId="0" fontId="1" fillId="7" borderId="21" pivotButton="0" quotePrefix="0" xfId="0"/>
    <xf numFmtId="0" fontId="1" fillId="7" borderId="1" pivotButton="0" quotePrefix="0" xfId="0"/>
    <xf numFmtId="0" fontId="1" fillId="20" borderId="8" pivotButton="0" quotePrefix="0" xfId="0"/>
    <xf numFmtId="0" fontId="1" fillId="20" borderId="2" applyAlignment="1" pivotButton="0" quotePrefix="0" xfId="0">
      <alignment horizontal="left" vertical="center"/>
    </xf>
    <xf numFmtId="0" fontId="1" fillId="3" borderId="6" pivotButton="0" quotePrefix="0" xfId="0"/>
    <xf numFmtId="0" fontId="1" fillId="10" borderId="1" pivotButton="0" quotePrefix="0" xfId="0"/>
    <xf numFmtId="0" fontId="5" fillId="7" borderId="3" pivotButton="0" quotePrefix="0" xfId="0"/>
    <xf numFmtId="0" fontId="1" fillId="7" borderId="2" pivotButton="0" quotePrefix="0" xfId="0"/>
    <xf numFmtId="0" fontId="1" fillId="19" borderId="6" pivotButton="0" quotePrefix="0" xfId="0"/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4" defaultTableStyle="TableStyleMedium9" defaultPivotStyle="PivotStyleLight16">
    <tableStyle name="נתוני זיהוי זאבים (2)-style" pivot="0" count="3">
      <tableStyleElement type="headerRow" dxfId="1"/>
      <tableStyleElement type="firstRowStripe" dxfId="2"/>
      <tableStyleElement type="secondRowStripe" dxfId="3"/>
    </tableStyle>
    <tableStyle name="נתוני זיהוי זאבים-style" pivot="0" count="3">
      <tableStyleElement type="headerRow" dxfId="1"/>
      <tableStyleElement type="firstRowStripe" dxfId="2"/>
      <tableStyleElement type="secondRowStripe" dxfId="3"/>
    </tableStyle>
    <tableStyle name="גרפים-style" pivot="0" count="3">
      <tableStyleElement type="headerRow" dxfId="1"/>
      <tableStyleElement type="firstRowStripe" dxfId="2"/>
      <tableStyleElement type="secondRowStripe" dxfId="3"/>
    </tableStyle>
    <tableStyle name="גרפים-style 2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+mn-lt"/>
              </a:defRPr>
            </a:pPr>
            <a:r>
              <a:rPr sz="1600" b="1" i="0">
                <a:solidFill>
                  <a:srgbClr val="757575"/>
                </a:solidFill>
                <a:latin typeface="+mn-lt"/>
              </a:rPr>
              <a:t>wolves social dynamics in numbers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22192092929913"/>
          <y val="0.211646703417502"/>
          <w val="0.550161376004911"/>
          <h val="0.7589609882011906"/>
        </manualLayout>
      </layout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chemeClr val="accent1"/>
              </a:solidFill>
              <a:ln>
                <a:prstDash val="solid"/>
              </a:ln>
            </spPr>
          </dPt>
          <dLbls>
            <dLbl>
              <idx val="0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2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3"/>
              <showLegendKey val="0"/>
              <showVal val="0"/>
              <showCatName val="0"/>
              <showSerName val="0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  <showLeaderLines val="1"/>
          </dLbls>
          <cat>
            <strRef>
              <f>'גרפים'!$A$2:$D$2</f>
            </strRef>
          </cat>
          <val>
            <numRef>
              <f>'גרפים'!$A$3:$D$3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+mn-lt"/>
              </a:defRPr>
            </a:pPr>
            <a:r>
              <a:rPr sz="1600" b="1" i="0">
                <a:solidFill>
                  <a:srgbClr val="757575"/>
                </a:solidFill>
                <a:latin typeface="+mn-lt"/>
              </a:rPr>
              <a:t>#wolves PER POLIGON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strRef>
              <f>'גרפים'!$I$1</f>
            </strRef>
          </tx>
          <spPr>
            <a:ln>
              <a:prstDash val="solid"/>
            </a:ln>
          </spPr>
          <dPt>
            <idx val="0"/>
            <spPr>
              <a:solidFill>
                <a:schemeClr val="accent6"/>
              </a:solidFill>
              <a:ln>
                <a:prstDash val="solid"/>
              </a:ln>
            </spPr>
          </dPt>
          <dPt>
            <idx val="1"/>
            <spPr>
              <a:solidFill>
                <a:schemeClr val="accent5"/>
              </a:solidFill>
              <a:ln>
                <a:prstDash val="solid"/>
              </a:ln>
            </spPr>
          </dPt>
          <dPt>
            <idx val="2"/>
            <spPr>
              <a:solidFill>
                <a:schemeClr val="accent2"/>
              </a:solidFill>
              <a:ln>
                <a:prstDash val="solid"/>
              </a:ln>
            </spPr>
          </dPt>
          <dPt>
            <idx val="3"/>
            <spPr>
              <a:solidFill>
                <a:schemeClr val="accent6"/>
              </a:solidFill>
              <a:ln>
                <a:prstDash val="solid"/>
              </a:ln>
            </spPr>
          </dPt>
          <dPt>
            <idx val="4"/>
            <spPr>
              <a:solidFill>
                <a:schemeClr val="accent5"/>
              </a:solidFill>
              <a:ln>
                <a:prstDash val="solid"/>
              </a:ln>
            </spPr>
          </dPt>
          <dPt>
            <idx val="5"/>
            <spPr>
              <a:solidFill>
                <a:srgbClr val="CC66FF"/>
              </a:solidFill>
              <a:ln>
                <a:prstDash val="solid"/>
              </a:ln>
            </spPr>
          </dPt>
          <dPt>
            <idx val="6"/>
            <spPr>
              <a:solidFill>
                <a:srgbClr val="0099FF"/>
              </a:solidFill>
              <a:ln>
                <a:prstDash val="solid"/>
              </a:ln>
            </spPr>
          </dPt>
          <dPt>
            <idx val="7"/>
            <spPr>
              <a:solidFill>
                <a:schemeClr val="accent5"/>
              </a:solidFill>
              <a:ln>
                <a:prstDash val="solid"/>
              </a:ln>
            </spPr>
          </dPt>
          <dPt>
            <idx val="8"/>
            <spPr>
              <a:solidFill>
                <a:srgbClr val="7030A0"/>
              </a:solidFill>
              <a:ln>
                <a:prstDash val="solid"/>
              </a:ln>
            </spPr>
          </dPt>
          <dPt>
            <idx val="9"/>
            <spPr>
              <a:solidFill>
                <a:schemeClr val="accent6"/>
              </a:solidFill>
              <a:ln>
                <a:prstDash val="solid"/>
              </a:ln>
            </spPr>
          </dPt>
          <dPt>
            <idx val="10"/>
            <spPr>
              <a:solidFill>
                <a:schemeClr val="accent5"/>
              </a:solidFill>
              <a:ln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0"/>
            <showBubbleSize val="0"/>
            <showLeaderLines val="1"/>
          </dLbls>
          <cat>
            <strRef>
              <f>'גרפים'!$H$2:$H$12</f>
            </strRef>
          </cat>
          <val>
            <numRef>
              <f>'גרפים'!$I$2:$I$12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66675</rowOff>
    </from>
    <ext cx="4086225" cy="31242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9</col>
      <colOff>152400</colOff>
      <row>2</row>
      <rowOff>47625</rowOff>
    </from>
    <ext cx="3857625" cy="2771775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</wsDr>
</file>

<file path=xl/tables/table1.xml><?xml version="1.0" encoding="utf-8"?>
<table xmlns="http://schemas.openxmlformats.org/spreadsheetml/2006/main" id="1" name="Table_2" displayName="Table_2" ref="A1:U107" headerRowCount="1">
  <tableColumns count="21">
    <tableColumn id="1" name="serial number"/>
    <tableColumn id="2" name="name"/>
    <tableColumn id="3" name="area"/>
    <tableColumn id="4" name="main poligon"/>
    <tableColumn id="5" name="gender"/>
    <tableColumn id="6" name="cams_spotted"/>
    <tableColumn id="7" name="social dynamic"/>
    <tableColumn id="8" name="pack name"/>
    <tableColumn id="9" name="seen with"/>
    <tableColumn id="10" name="notes"/>
    <tableColumn id="11" name="time on camera"/>
    <tableColumn id="12" name="תז"/>
    <tableColumn id="13" name="A1"/>
    <tableColumn id="14" name="A2"/>
    <tableColumn id="15" name="B3"/>
    <tableColumn id="16" name="B4"/>
    <tableColumn id="17" name="B5"/>
    <tableColumn id="18" name="C6"/>
    <tableColumn id="19" name="C7"/>
    <tableColumn id="20" name="D8"/>
    <tableColumn id="21" name="D9"/>
  </tableColumns>
  <tableStyleInfo name="נתוני זיהוי זאבים-style" showFirstColumn="1" showLastColumn="1" showRowStripes="1" showColumnStripes="0"/>
</table>
</file>

<file path=xl/tables/table2.xml><?xml version="1.0" encoding="utf-8"?>
<table xmlns="http://schemas.openxmlformats.org/spreadsheetml/2006/main" id="2" name="Table_3" displayName="Table_3" ref="H1:I12" headerRowCount="1">
  <tableColumns count="2">
    <tableColumn id="1" name="poligon"/>
    <tableColumn id="2" name="# wolves"/>
  </tableColumns>
  <tableStyleInfo name="גרפים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A2:D3" headerRowCount="1">
  <tableColumns count="4">
    <tableColumn id="1" name="#wolves in packs"/>
    <tableColumn id="2" name="#wolves in groups"/>
    <tableColumn id="3" name="#unknown"/>
    <tableColumn id="4" name="#lone wolves"/>
  </tableColumns>
  <tableStyleInfo name="גרפים-style 2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serial number</t>
        </is>
      </c>
      <c r="B1" s="0" t="inlineStr">
        <is>
          <t>name</t>
        </is>
      </c>
      <c r="C1" s="0" t="inlineStr">
        <is>
          <t>area</t>
        </is>
      </c>
      <c r="D1" s="0" t="inlineStr">
        <is>
          <t>main poligon</t>
        </is>
      </c>
      <c r="E1" s="0" t="inlineStr">
        <is>
          <t>gender</t>
        </is>
      </c>
      <c r="F1" s="0" t="inlineStr">
        <is>
          <t>cams_spotted</t>
        </is>
      </c>
      <c r="G1" s="0" t="inlineStr">
        <is>
          <t>social dynamic</t>
        </is>
      </c>
      <c r="H1" s="0" t="inlineStr">
        <is>
          <t>שיוך</t>
        </is>
      </c>
      <c r="I1" s="0" t="inlineStr">
        <is>
          <t>pack name</t>
        </is>
      </c>
      <c r="J1" s="0" t="inlineStr">
        <is>
          <t>seen with</t>
        </is>
      </c>
      <c r="K1" s="0" t="inlineStr">
        <is>
          <t>notes</t>
        </is>
      </c>
      <c r="L1" s="0" t="inlineStr">
        <is>
          <t>time on camera</t>
        </is>
      </c>
      <c r="M1" s="0" t="inlineStr">
        <is>
          <t>#sights</t>
        </is>
      </c>
      <c r="N1" s="0" t="inlineStr">
        <is>
          <t>#right</t>
        </is>
      </c>
      <c r="O1" s="0" t="inlineStr">
        <is>
          <t>#left</t>
        </is>
      </c>
      <c r="P1" s="0" t="inlineStr">
        <is>
          <t>#front</t>
        </is>
      </c>
      <c r="Q1" s="0" t="inlineStr">
        <is>
          <t>#no good</t>
        </is>
      </c>
      <c r="R1" s="0" t="inlineStr">
        <is>
          <t>#pictures</t>
        </is>
      </c>
      <c r="S1" s="0" t="inlineStr">
        <is>
          <t>code</t>
        </is>
      </c>
      <c r="T1" s="0" t="inlineStr">
        <is>
          <t>A1</t>
        </is>
      </c>
      <c r="U1" s="0" t="inlineStr">
        <is>
          <t>A2</t>
        </is>
      </c>
      <c r="V1" s="0" t="inlineStr">
        <is>
          <t>B3</t>
        </is>
      </c>
      <c r="W1" s="0" t="inlineStr">
        <is>
          <t>B4</t>
        </is>
      </c>
      <c r="X1" s="0" t="inlineStr">
        <is>
          <t>B5</t>
        </is>
      </c>
      <c r="Y1" s="0" t="inlineStr">
        <is>
          <t>C6</t>
        </is>
      </c>
      <c r="Z1" s="0" t="inlineStr">
        <is>
          <t>C7</t>
        </is>
      </c>
      <c r="AA1" s="0" t="inlineStr">
        <is>
          <t>D8</t>
        </is>
      </c>
      <c r="AB1" s="0" t="inlineStr">
        <is>
          <t>D9</t>
        </is>
      </c>
    </row>
    <row r="2">
      <c r="A2" s="0" t="inlineStr">
        <is>
          <t>M1</t>
        </is>
      </c>
      <c r="B2" s="0" t="inlineStr">
        <is>
          <t>Segen</t>
        </is>
      </c>
      <c r="C2" s="0" t="inlineStr">
        <is>
          <t>makhfi</t>
        </is>
      </c>
      <c r="D2" s="0" t="inlineStr">
        <is>
          <t>makhfi</t>
        </is>
      </c>
      <c r="E2" s="0" t="inlineStr">
        <is>
          <t>m</t>
        </is>
      </c>
      <c r="F2" s="0" t="n">
        <v>27</v>
      </c>
      <c r="G2" s="0" t="inlineStr">
        <is>
          <t>pack</t>
        </is>
      </c>
      <c r="H2" s="0" t="inlineStr">
        <is>
          <t>Makhfi original</t>
        </is>
      </c>
      <c r="I2" s="0" t="inlineStr">
        <is>
          <t>Makhfi original</t>
        </is>
      </c>
      <c r="K2" s="0" t="inlineStr">
        <is>
          <t>very dark fur, alpha's brother, born in 2015, cub's babysitter</t>
        </is>
      </c>
      <c r="L2" s="0" t="inlineStr">
        <is>
          <t>29.10.20</t>
        </is>
      </c>
      <c r="M2" s="0" t="n">
        <v>1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4</v>
      </c>
      <c r="S2" s="0" t="inlineStr">
        <is>
          <t>a5tye_a1e_N_P_N_a3f_a1_a2b5_a2</t>
        </is>
      </c>
      <c r="T2" s="0" t="inlineStr">
        <is>
          <t>a5tye</t>
        </is>
      </c>
      <c r="U2" s="0" t="inlineStr">
        <is>
          <t>a1e</t>
        </is>
      </c>
      <c r="V2" s="0" t="inlineStr">
        <is>
          <t>N</t>
        </is>
      </c>
      <c r="W2" s="0" t="inlineStr">
        <is>
          <t>P</t>
        </is>
      </c>
      <c r="X2" s="0" t="inlineStr">
        <is>
          <t>N</t>
        </is>
      </c>
      <c r="Y2" s="0" t="inlineStr">
        <is>
          <t>a3f</t>
        </is>
      </c>
      <c r="Z2" s="0" t="inlineStr">
        <is>
          <t>a1</t>
        </is>
      </c>
      <c r="AA2" s="0" t="inlineStr">
        <is>
          <t>a2b5</t>
        </is>
      </c>
      <c r="AB2" s="0" t="inlineStr">
        <is>
          <t>a2</t>
        </is>
      </c>
    </row>
    <row r="3">
      <c r="A3" s="0" t="inlineStr">
        <is>
          <t>M2k</t>
        </is>
      </c>
      <c r="C3" s="0" t="inlineStr">
        <is>
          <t>makhfi</t>
        </is>
      </c>
      <c r="D3" s="0" t="inlineStr">
        <is>
          <t>makhfi</t>
        </is>
      </c>
      <c r="F3" s="0" t="n">
        <v>29</v>
      </c>
      <c r="G3" s="0" t="inlineStr">
        <is>
          <t>group</t>
        </is>
      </c>
      <c r="H3" s="0" t="inlineStr">
        <is>
          <t>makhfi new</t>
        </is>
      </c>
      <c r="I3" s="0" t="inlineStr">
        <is>
          <t>makhfi new</t>
        </is>
      </c>
      <c r="L3" s="0" t="inlineStr">
        <is>
          <t>18.9.20</t>
        </is>
      </c>
      <c r="M3" s="0" t="n">
        <v>2</v>
      </c>
      <c r="N3" s="0" t="n">
        <v>3</v>
      </c>
      <c r="O3" s="0" t="n">
        <v>0</v>
      </c>
      <c r="P3" s="0" t="n">
        <v>1</v>
      </c>
      <c r="Q3" s="0" t="n">
        <v>3</v>
      </c>
      <c r="R3" s="0" t="n">
        <v>7</v>
      </c>
      <c r="S3" s="0" t="inlineStr">
        <is>
          <t>b1l_a3i_b_c2_c2_a3i_c_a4b5_a2</t>
        </is>
      </c>
      <c r="T3" s="0" t="inlineStr">
        <is>
          <t>b1l</t>
        </is>
      </c>
      <c r="U3" s="0" t="inlineStr">
        <is>
          <t>a3i</t>
        </is>
      </c>
      <c r="V3" s="0" t="inlineStr">
        <is>
          <t>b</t>
        </is>
      </c>
      <c r="W3" s="0" t="inlineStr">
        <is>
          <t>c2</t>
        </is>
      </c>
      <c r="X3" s="0" t="inlineStr">
        <is>
          <t>c2</t>
        </is>
      </c>
      <c r="Y3" s="0" t="inlineStr">
        <is>
          <t>a3i</t>
        </is>
      </c>
      <c r="Z3" s="0" t="inlineStr">
        <is>
          <t>c</t>
        </is>
      </c>
      <c r="AA3" s="0" t="inlineStr">
        <is>
          <t>a4b5</t>
        </is>
      </c>
      <c r="AB3" s="0" t="inlineStr">
        <is>
          <t>a2</t>
        </is>
      </c>
    </row>
    <row r="4">
      <c r="A4" s="0" t="inlineStr">
        <is>
          <t>M3</t>
        </is>
      </c>
      <c r="C4" s="0" t="inlineStr">
        <is>
          <t>makhfi</t>
        </is>
      </c>
      <c r="D4" s="0" t="inlineStr">
        <is>
          <t>makhfi</t>
        </is>
      </c>
      <c r="E4" s="0" t="inlineStr">
        <is>
          <t>m</t>
        </is>
      </c>
      <c r="F4" s="0" t="n">
        <v>29</v>
      </c>
      <c r="G4" s="0" t="inlineStr">
        <is>
          <t>unknown</t>
        </is>
      </c>
      <c r="H4" s="0" t="inlineStr">
        <is>
          <t>makhfi unknown</t>
        </is>
      </c>
      <c r="I4" s="0" t="inlineStr">
        <is>
          <t>indeterminate</t>
        </is>
      </c>
      <c r="K4" s="0" t="inlineStr">
        <is>
          <t>probably one of 2019's cubs of original pack</t>
        </is>
      </c>
      <c r="L4" s="0" t="inlineStr">
        <is>
          <t>10.11.20</t>
        </is>
      </c>
      <c r="M4" s="0" t="n">
        <v>1</v>
      </c>
      <c r="N4" s="0" t="n">
        <v>5</v>
      </c>
      <c r="O4" s="0" t="n">
        <v>0</v>
      </c>
      <c r="P4" s="0" t="n">
        <v>0</v>
      </c>
      <c r="Q4" s="0" t="n">
        <v>0</v>
      </c>
      <c r="R4" s="0" t="n">
        <v>5</v>
      </c>
      <c r="S4" s="0" t="inlineStr">
        <is>
          <t>a5uyf_a4_a2_c1_c1_a4g_c_P_P</t>
        </is>
      </c>
      <c r="T4" s="0" t="inlineStr">
        <is>
          <t>a5uyf</t>
        </is>
      </c>
      <c r="U4" s="0" t="inlineStr">
        <is>
          <t>a4</t>
        </is>
      </c>
      <c r="V4" s="0" t="inlineStr">
        <is>
          <t>a2</t>
        </is>
      </c>
      <c r="W4" s="0" t="inlineStr">
        <is>
          <t>c1</t>
        </is>
      </c>
      <c r="X4" s="0" t="inlineStr">
        <is>
          <t>c1</t>
        </is>
      </c>
      <c r="Y4" s="0" t="inlineStr">
        <is>
          <t>a4g</t>
        </is>
      </c>
      <c r="Z4" s="0" t="inlineStr">
        <is>
          <t>c</t>
        </is>
      </c>
      <c r="AA4" s="0" t="inlineStr">
        <is>
          <t>P</t>
        </is>
      </c>
      <c r="AB4" s="0" t="inlineStr">
        <is>
          <t>P</t>
        </is>
      </c>
    </row>
    <row r="5">
      <c r="A5" s="0" t="inlineStr">
        <is>
          <t>M4</t>
        </is>
      </c>
      <c r="B5" s="0" t="inlineStr">
        <is>
          <t>Foxy</t>
        </is>
      </c>
      <c r="C5" s="0" t="inlineStr">
        <is>
          <t>makhfi</t>
        </is>
      </c>
      <c r="D5" s="0" t="inlineStr">
        <is>
          <t>makhfi</t>
        </is>
      </c>
      <c r="E5" s="0" t="inlineStr">
        <is>
          <t>f</t>
        </is>
      </c>
      <c r="F5" s="0" t="n">
        <v>30</v>
      </c>
      <c r="G5" s="0" t="inlineStr">
        <is>
          <t>pack</t>
        </is>
      </c>
      <c r="H5" s="0" t="inlineStr">
        <is>
          <t>Makhfi original</t>
        </is>
      </c>
      <c r="I5" s="0" t="inlineStr">
        <is>
          <t>Makhfi original</t>
        </is>
      </c>
      <c r="K5" s="0" t="inlineStr">
        <is>
          <t>golden fur, pink noze, Odem's daughter</t>
        </is>
      </c>
      <c r="L5" s="0" t="inlineStr">
        <is>
          <t>26.10.20</t>
        </is>
      </c>
      <c r="M5" s="0" t="n">
        <v>1</v>
      </c>
      <c r="N5" s="0" t="n">
        <v>0</v>
      </c>
      <c r="O5" s="0" t="n">
        <v>2</v>
      </c>
      <c r="P5" s="0" t="n">
        <v>2</v>
      </c>
      <c r="Q5" s="0" t="n">
        <v>0</v>
      </c>
      <c r="R5" s="0" t="n">
        <v>4</v>
      </c>
      <c r="S5" s="0" t="inlineStr">
        <is>
          <t>d2k_a7k_b_b_b_c2j_b2_a5_a2</t>
        </is>
      </c>
      <c r="T5" s="0" t="inlineStr">
        <is>
          <t>d2k</t>
        </is>
      </c>
      <c r="U5" s="0" t="inlineStr">
        <is>
          <t>a7k</t>
        </is>
      </c>
      <c r="V5" s="0" t="inlineStr">
        <is>
          <t>b</t>
        </is>
      </c>
      <c r="W5" s="0" t="inlineStr">
        <is>
          <t>b</t>
        </is>
      </c>
      <c r="X5" s="0" t="inlineStr">
        <is>
          <t>b</t>
        </is>
      </c>
      <c r="Y5" s="0" t="inlineStr">
        <is>
          <t>c2j</t>
        </is>
      </c>
      <c r="Z5" s="0" t="inlineStr">
        <is>
          <t>b2</t>
        </is>
      </c>
      <c r="AA5" s="0" t="inlineStr">
        <is>
          <t>a5</t>
        </is>
      </c>
      <c r="AB5" s="0" t="inlineStr">
        <is>
          <t>a2</t>
        </is>
      </c>
    </row>
    <row r="6">
      <c r="A6" s="0" t="inlineStr">
        <is>
          <t>M5</t>
        </is>
      </c>
      <c r="B6" s="0" t="inlineStr">
        <is>
          <t>Odem</t>
        </is>
      </c>
      <c r="C6" s="0" t="inlineStr">
        <is>
          <t>makhfi</t>
        </is>
      </c>
      <c r="D6" s="0" t="inlineStr">
        <is>
          <t>makhfi</t>
        </is>
      </c>
      <c r="E6" s="0" t="inlineStr">
        <is>
          <t>f</t>
        </is>
      </c>
      <c r="F6" s="0" t="n">
        <v>30</v>
      </c>
      <c r="G6" s="0" t="inlineStr">
        <is>
          <t>pack</t>
        </is>
      </c>
      <c r="H6" s="0" t="inlineStr">
        <is>
          <t>Makhfi original</t>
        </is>
      </c>
      <c r="I6" s="0" t="inlineStr">
        <is>
          <t>Makhfi original</t>
        </is>
      </c>
      <c r="J6" s="0" t="inlineStr">
        <is>
          <t>1 unrecognized</t>
        </is>
      </c>
      <c r="K6" s="0" t="inlineStr">
        <is>
          <t>alpha female, dark mark on front-right leg</t>
        </is>
      </c>
      <c r="L6" s="0" t="inlineStr">
        <is>
          <t>1-9.11.20</t>
        </is>
      </c>
      <c r="M6" s="0" t="n">
        <v>2</v>
      </c>
      <c r="N6" s="0" t="n">
        <v>4</v>
      </c>
      <c r="O6" s="0" t="n">
        <v>3</v>
      </c>
      <c r="P6" s="0" t="n">
        <v>0</v>
      </c>
      <c r="Q6" s="0" t="n">
        <v>1</v>
      </c>
      <c r="R6" s="0" t="n">
        <v>8</v>
      </c>
      <c r="S6" s="0" t="inlineStr">
        <is>
          <t>a2wyf_fRa6La1_a3_c1_c1_c2g_b1_a3b1_a3</t>
        </is>
      </c>
      <c r="T6" s="0" t="inlineStr">
        <is>
          <t>a2wyf</t>
        </is>
      </c>
      <c r="U6" s="0" t="inlineStr">
        <is>
          <t>fRa6La1</t>
        </is>
      </c>
      <c r="V6" s="0" t="inlineStr">
        <is>
          <t>a3</t>
        </is>
      </c>
      <c r="W6" s="0" t="inlineStr">
        <is>
          <t>c1</t>
        </is>
      </c>
      <c r="X6" s="0" t="inlineStr">
        <is>
          <t>c1</t>
        </is>
      </c>
      <c r="Y6" s="0" t="inlineStr">
        <is>
          <t>c2g</t>
        </is>
      </c>
      <c r="Z6" s="0" t="inlineStr">
        <is>
          <t>b1</t>
        </is>
      </c>
      <c r="AA6" s="0" t="inlineStr">
        <is>
          <t>a3b1</t>
        </is>
      </c>
      <c r="AB6" s="0" t="inlineStr">
        <is>
          <t>a3</t>
        </is>
      </c>
    </row>
    <row r="7">
      <c r="A7" s="0" t="inlineStr">
        <is>
          <t>M6H</t>
        </is>
      </c>
      <c r="C7" s="0" t="inlineStr">
        <is>
          <t>makhfi</t>
        </is>
      </c>
      <c r="D7" s="0" t="inlineStr">
        <is>
          <t>makhfi</t>
        </is>
      </c>
      <c r="E7" s="0" t="inlineStr">
        <is>
          <t>f</t>
        </is>
      </c>
      <c r="F7" s="0" t="inlineStr">
        <is>
          <t>30, 26,  22</t>
        </is>
      </c>
      <c r="G7" s="0" t="inlineStr">
        <is>
          <t>unknown</t>
        </is>
      </c>
      <c r="H7" s="0" t="inlineStr">
        <is>
          <t>makhfi unknown</t>
        </is>
      </c>
      <c r="I7" s="0" t="inlineStr">
        <is>
          <t>indeterminate</t>
        </is>
      </c>
      <c r="L7" s="0" t="inlineStr">
        <is>
          <t>26.8.20-14.11.20</t>
        </is>
      </c>
      <c r="M7" s="0" t="n">
        <v>2</v>
      </c>
      <c r="N7" s="0" t="n">
        <v>2</v>
      </c>
      <c r="O7" s="0" t="n">
        <v>2</v>
      </c>
      <c r="P7" s="0" t="n">
        <v>1</v>
      </c>
      <c r="Q7" s="0" t="n">
        <v>0</v>
      </c>
      <c r="R7" s="0" t="n">
        <v>5</v>
      </c>
      <c r="S7" s="0" t="inlineStr">
        <is>
          <t>b1k_a1i_a3_c1_c1_c3i_a2_a3b5_a2</t>
        </is>
      </c>
      <c r="T7" s="0" t="inlineStr">
        <is>
          <t>b1k</t>
        </is>
      </c>
      <c r="U7" s="0" t="inlineStr">
        <is>
          <t>a1i</t>
        </is>
      </c>
      <c r="V7" s="0" t="inlineStr">
        <is>
          <t>a3</t>
        </is>
      </c>
      <c r="W7" s="0" t="inlineStr">
        <is>
          <t>c1</t>
        </is>
      </c>
      <c r="X7" s="0" t="inlineStr">
        <is>
          <t>c1</t>
        </is>
      </c>
      <c r="Y7" s="0" t="inlineStr">
        <is>
          <t>c3i</t>
        </is>
      </c>
      <c r="Z7" s="0" t="inlineStr">
        <is>
          <t>a2</t>
        </is>
      </c>
      <c r="AA7" s="0" t="inlineStr">
        <is>
          <t>a3b5</t>
        </is>
      </c>
      <c r="AB7" s="0" t="inlineStr">
        <is>
          <t>a2</t>
        </is>
      </c>
    </row>
    <row r="8">
      <c r="A8" s="0" t="inlineStr">
        <is>
          <t>M7</t>
        </is>
      </c>
      <c r="C8" s="0" t="inlineStr">
        <is>
          <t>makhfi</t>
        </is>
      </c>
      <c r="D8" s="0" t="inlineStr">
        <is>
          <t>makhfi</t>
        </is>
      </c>
      <c r="E8" s="0" t="inlineStr">
        <is>
          <t>f</t>
        </is>
      </c>
      <c r="F8" s="0" t="n">
        <v>30</v>
      </c>
      <c r="G8" s="0" t="inlineStr">
        <is>
          <t>pack</t>
        </is>
      </c>
      <c r="H8" s="0" t="inlineStr">
        <is>
          <t>Makhfi original</t>
        </is>
      </c>
      <c r="I8" s="0" t="inlineStr">
        <is>
          <t>Makhfi original</t>
        </is>
      </c>
      <c r="J8" s="0" t="inlineStr">
        <is>
          <t>1 unrecognized*</t>
        </is>
      </c>
      <c r="L8" s="0" t="inlineStr">
        <is>
          <t>20.11.20</t>
        </is>
      </c>
      <c r="M8" s="0" t="n">
        <v>1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2</v>
      </c>
      <c r="S8" s="0" t="inlineStr">
        <is>
          <t>a4tzf_a2f_a1_N_P_c3f_a3_a3b2_a2</t>
        </is>
      </c>
      <c r="T8" s="0" t="inlineStr">
        <is>
          <t>a4tzf</t>
        </is>
      </c>
      <c r="U8" s="0" t="inlineStr">
        <is>
          <t>a2f</t>
        </is>
      </c>
      <c r="V8" s="0" t="inlineStr">
        <is>
          <t>a1</t>
        </is>
      </c>
      <c r="W8" s="0" t="inlineStr">
        <is>
          <t>N</t>
        </is>
      </c>
      <c r="X8" s="0" t="inlineStr">
        <is>
          <t>P</t>
        </is>
      </c>
      <c r="Y8" s="0" t="inlineStr">
        <is>
          <t>c3f</t>
        </is>
      </c>
      <c r="Z8" s="0" t="inlineStr">
        <is>
          <t>a3</t>
        </is>
      </c>
      <c r="AA8" s="0" t="inlineStr">
        <is>
          <t>a3b2</t>
        </is>
      </c>
      <c r="AB8" s="0" t="inlineStr">
        <is>
          <t>a2</t>
        </is>
      </c>
    </row>
    <row r="9">
      <c r="A9" s="0" t="inlineStr">
        <is>
          <t>M8</t>
        </is>
      </c>
      <c r="C9" s="0" t="inlineStr">
        <is>
          <t>makhfi</t>
        </is>
      </c>
      <c r="D9" s="0" t="inlineStr">
        <is>
          <t>makhfi</t>
        </is>
      </c>
      <c r="F9" s="0" t="n">
        <v>30</v>
      </c>
      <c r="G9" s="0" t="inlineStr">
        <is>
          <t>pack</t>
        </is>
      </c>
      <c r="H9" s="0" t="inlineStr">
        <is>
          <t>Makhfi original</t>
        </is>
      </c>
      <c r="I9" s="0" t="inlineStr">
        <is>
          <t>Makhfi original</t>
        </is>
      </c>
      <c r="J9" s="0" t="inlineStr">
        <is>
          <t>2 unrecognized</t>
        </is>
      </c>
      <c r="K9" s="0" t="inlineStr">
        <is>
          <t>light-brown eyes</t>
        </is>
      </c>
      <c r="L9" s="0" t="inlineStr">
        <is>
          <t>20.11.20</t>
        </is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1</v>
      </c>
      <c r="S9" s="0" t="inlineStr">
        <is>
          <t>a5tye_a4e_a2_P_P_c3e_a_a3b3_a4</t>
        </is>
      </c>
      <c r="T9" s="0" t="inlineStr">
        <is>
          <t>a5tye</t>
        </is>
      </c>
      <c r="U9" s="0" t="inlineStr">
        <is>
          <t>a4e</t>
        </is>
      </c>
      <c r="V9" s="0" t="inlineStr">
        <is>
          <t>a2</t>
        </is>
      </c>
      <c r="W9" s="0" t="inlineStr">
        <is>
          <t>P</t>
        </is>
      </c>
      <c r="X9" s="0" t="inlineStr">
        <is>
          <t>P</t>
        </is>
      </c>
      <c r="Y9" s="0" t="inlineStr">
        <is>
          <t>c3e</t>
        </is>
      </c>
      <c r="Z9" s="0" t="inlineStr">
        <is>
          <t>a</t>
        </is>
      </c>
      <c r="AA9" s="0" t="inlineStr">
        <is>
          <t>a3b3</t>
        </is>
      </c>
      <c r="AB9" s="0" t="inlineStr">
        <is>
          <t>a4</t>
        </is>
      </c>
    </row>
    <row r="10">
      <c r="A10" s="0" t="inlineStr">
        <is>
          <t>M9</t>
        </is>
      </c>
      <c r="C10" s="0" t="inlineStr">
        <is>
          <t>makhfi</t>
        </is>
      </c>
      <c r="D10" s="0" t="inlineStr">
        <is>
          <t>makhfi</t>
        </is>
      </c>
      <c r="E10" s="0" t="inlineStr">
        <is>
          <t>m</t>
        </is>
      </c>
      <c r="F10" s="0" t="n">
        <v>30</v>
      </c>
      <c r="G10" s="0" t="inlineStr">
        <is>
          <t>pack</t>
        </is>
      </c>
      <c r="H10" s="0" t="inlineStr">
        <is>
          <t>Makhfi original</t>
        </is>
      </c>
      <c r="I10" s="0" t="inlineStr">
        <is>
          <t>Makhfi original</t>
        </is>
      </c>
      <c r="K10" s="0" t="inlineStr">
        <is>
          <t>very short tail, grandpa</t>
        </is>
      </c>
      <c r="L10" s="0" t="inlineStr">
        <is>
          <t>26.11.20</t>
        </is>
      </c>
      <c r="M10" s="0" t="n">
        <v>1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3</v>
      </c>
      <c r="S10" s="0" t="inlineStr">
        <is>
          <t>b1f_a4f_a2_c1_c1_c3f_a3_a4b3_a4</t>
        </is>
      </c>
      <c r="T10" s="0" t="inlineStr">
        <is>
          <t>b1f</t>
        </is>
      </c>
      <c r="U10" s="0" t="inlineStr">
        <is>
          <t>a4f</t>
        </is>
      </c>
      <c r="V10" s="0" t="inlineStr">
        <is>
          <t>a2</t>
        </is>
      </c>
      <c r="W10" s="0" t="inlineStr">
        <is>
          <t>c1</t>
        </is>
      </c>
      <c r="X10" s="0" t="inlineStr">
        <is>
          <t>c1</t>
        </is>
      </c>
      <c r="Y10" s="0" t="inlineStr">
        <is>
          <t>c3f</t>
        </is>
      </c>
      <c r="Z10" s="0" t="inlineStr">
        <is>
          <t>a3</t>
        </is>
      </c>
      <c r="AA10" s="0" t="inlineStr">
        <is>
          <t>a4b3</t>
        </is>
      </c>
      <c r="AB10" s="0" t="inlineStr">
        <is>
          <t>a4</t>
        </is>
      </c>
    </row>
    <row r="11">
      <c r="A11" s="0" t="inlineStr">
        <is>
          <t>M10</t>
        </is>
      </c>
      <c r="C11" s="0" t="inlineStr">
        <is>
          <t>makhfi</t>
        </is>
      </c>
      <c r="D11" s="0" t="inlineStr">
        <is>
          <t>makhfi</t>
        </is>
      </c>
      <c r="F11" s="0" t="n">
        <v>30</v>
      </c>
      <c r="G11" s="0" t="inlineStr">
        <is>
          <t>unknown</t>
        </is>
      </c>
      <c r="H11" s="0" t="inlineStr">
        <is>
          <t>makhfi unknown</t>
        </is>
      </c>
      <c r="I11" s="0" t="inlineStr">
        <is>
          <t>indeterminate</t>
        </is>
      </c>
      <c r="L11" s="0" t="inlineStr">
        <is>
          <t>2.12.20</t>
        </is>
      </c>
      <c r="M11" s="0" t="n">
        <v>1</v>
      </c>
      <c r="N11" s="0" t="n">
        <v>1</v>
      </c>
      <c r="O11" s="0" t="n">
        <v>0</v>
      </c>
      <c r="P11" s="0" t="n">
        <v>2</v>
      </c>
      <c r="Q11" s="0" t="n">
        <v>0</v>
      </c>
      <c r="R11" s="0" t="n">
        <v>3</v>
      </c>
      <c r="S11" s="0" t="inlineStr">
        <is>
          <t>c1yj_a5j_b_d_d_c3i_b1_a3bP_P</t>
        </is>
      </c>
      <c r="T11" s="0" t="inlineStr">
        <is>
          <t>c1yj</t>
        </is>
      </c>
      <c r="U11" s="0" t="inlineStr">
        <is>
          <t>a5j</t>
        </is>
      </c>
      <c r="V11" s="0" t="inlineStr">
        <is>
          <t>b</t>
        </is>
      </c>
      <c r="W11" s="0" t="inlineStr">
        <is>
          <t>d</t>
        </is>
      </c>
      <c r="X11" s="0" t="inlineStr">
        <is>
          <t>d</t>
        </is>
      </c>
      <c r="Y11" s="0" t="inlineStr">
        <is>
          <t>c3i</t>
        </is>
      </c>
      <c r="Z11" s="0" t="inlineStr">
        <is>
          <t>b1</t>
        </is>
      </c>
      <c r="AA11" s="0" t="inlineStr">
        <is>
          <t>a3bP</t>
        </is>
      </c>
      <c r="AB11" s="0" t="inlineStr">
        <is>
          <t>P</t>
        </is>
      </c>
    </row>
    <row r="12">
      <c r="A12" s="0" t="inlineStr">
        <is>
          <t>H12</t>
        </is>
      </c>
      <c r="C12" s="0" t="inlineStr">
        <is>
          <t>hazeka</t>
        </is>
      </c>
      <c r="D12" s="0" t="inlineStr">
        <is>
          <t>hazeka</t>
        </is>
      </c>
      <c r="F12" s="0" t="n">
        <v>25</v>
      </c>
      <c r="G12" s="0" t="inlineStr">
        <is>
          <t>lone</t>
        </is>
      </c>
      <c r="H12" s="0" t="inlineStr">
        <is>
          <t>lone</t>
        </is>
      </c>
      <c r="I12" s="0" t="inlineStr">
        <is>
          <t>lone</t>
        </is>
      </c>
      <c r="K12" s="0" t="inlineStr">
        <is>
          <t>golden-yellow fur</t>
        </is>
      </c>
      <c r="L12" s="0" t="inlineStr">
        <is>
          <t>19.10.20</t>
        </is>
      </c>
      <c r="M12" s="0" t="n">
        <v>1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3</v>
      </c>
      <c r="S12" s="0" t="inlineStr">
        <is>
          <t>d2l_a1k_N_N_N_P_a1_a5b5_a1</t>
        </is>
      </c>
      <c r="T12" s="0" t="inlineStr">
        <is>
          <t>d2l</t>
        </is>
      </c>
      <c r="U12" s="0" t="inlineStr">
        <is>
          <t>a1k</t>
        </is>
      </c>
      <c r="V12" s="0" t="inlineStr">
        <is>
          <t>N</t>
        </is>
      </c>
      <c r="W12" s="0" t="inlineStr">
        <is>
          <t>N</t>
        </is>
      </c>
      <c r="X12" s="0" t="inlineStr">
        <is>
          <t>N</t>
        </is>
      </c>
      <c r="Y12" s="0" t="inlineStr">
        <is>
          <t>P</t>
        </is>
      </c>
      <c r="Z12" s="0" t="inlineStr">
        <is>
          <t>a1</t>
        </is>
      </c>
      <c r="AA12" s="0" t="inlineStr">
        <is>
          <t>a5b5</t>
        </is>
      </c>
      <c r="AB12" s="0" t="inlineStr">
        <is>
          <t>a1</t>
        </is>
      </c>
    </row>
    <row r="13">
      <c r="A13" s="0" t="inlineStr">
        <is>
          <t>H13S</t>
        </is>
      </c>
      <c r="C13" s="0" t="inlineStr">
        <is>
          <t>Hazeka, saki</t>
        </is>
      </c>
      <c r="D13" s="0" t="inlineStr">
        <is>
          <t>hazeka</t>
        </is>
      </c>
      <c r="F13" s="0" t="inlineStr">
        <is>
          <t xml:space="preserve"> 21, 11</t>
        </is>
      </c>
      <c r="G13" s="0" t="inlineStr">
        <is>
          <t>lone</t>
        </is>
      </c>
      <c r="H13" s="0" t="inlineStr">
        <is>
          <t>lone</t>
        </is>
      </c>
      <c r="I13" s="0" t="inlineStr">
        <is>
          <t>lone</t>
        </is>
      </c>
      <c r="L13" s="0" t="inlineStr">
        <is>
          <t>6-7.10.20</t>
        </is>
      </c>
      <c r="M13" s="0" t="n">
        <v>2</v>
      </c>
      <c r="N13" s="0" t="n">
        <v>0</v>
      </c>
      <c r="O13" s="0" t="n">
        <v>5</v>
      </c>
      <c r="P13" s="0" t="n">
        <v>0</v>
      </c>
      <c r="Q13" s="0" t="n">
        <v>0</v>
      </c>
      <c r="R13" s="0" t="n">
        <v>5</v>
      </c>
      <c r="S13" s="0" t="inlineStr">
        <is>
          <t>a1txi_a3i_b_c1a_a1a_c1g_b2_a4b5_a4</t>
        </is>
      </c>
      <c r="T13" s="0" t="inlineStr">
        <is>
          <t>a1txi</t>
        </is>
      </c>
      <c r="U13" s="0" t="inlineStr">
        <is>
          <t>a3i</t>
        </is>
      </c>
      <c r="V13" s="0" t="inlineStr">
        <is>
          <t>b</t>
        </is>
      </c>
      <c r="W13" s="0" t="inlineStr">
        <is>
          <t>c1a</t>
        </is>
      </c>
      <c r="X13" s="0" t="inlineStr">
        <is>
          <t>a1a</t>
        </is>
      </c>
      <c r="Y13" s="0" t="inlineStr">
        <is>
          <t>c1g</t>
        </is>
      </c>
      <c r="Z13" s="0" t="inlineStr">
        <is>
          <t>b2</t>
        </is>
      </c>
      <c r="AA13" s="0" t="inlineStr">
        <is>
          <t>a4b5</t>
        </is>
      </c>
      <c r="AB13" s="0" t="inlineStr">
        <is>
          <t>a4</t>
        </is>
      </c>
    </row>
    <row r="14">
      <c r="A14" s="0" t="inlineStr">
        <is>
          <t>H99</t>
        </is>
      </c>
      <c r="C14" s="0" t="inlineStr">
        <is>
          <t>Hazeka</t>
        </is>
      </c>
      <c r="D14" s="0" t="inlineStr">
        <is>
          <t>hazeka</t>
        </is>
      </c>
      <c r="F14" s="0" t="n">
        <v>24</v>
      </c>
      <c r="G14" s="0" t="inlineStr">
        <is>
          <t>lone</t>
        </is>
      </c>
      <c r="H14" s="0" t="inlineStr">
        <is>
          <t>lone</t>
        </is>
      </c>
      <c r="I14" s="0" t="inlineStr">
        <is>
          <t>lone</t>
        </is>
      </c>
      <c r="L14" s="0" t="inlineStr">
        <is>
          <t>3.4.20</t>
        </is>
      </c>
      <c r="M14" s="0" t="n">
        <v>1</v>
      </c>
      <c r="N14" s="0" t="n">
        <v>0</v>
      </c>
      <c r="O14" s="0" t="n">
        <v>5</v>
      </c>
      <c r="P14" s="0" t="n">
        <v>0</v>
      </c>
      <c r="Q14" s="0" t="n">
        <v>0</v>
      </c>
      <c r="R14" s="0" t="n">
        <v>5</v>
      </c>
      <c r="S14" s="0" t="inlineStr">
        <is>
          <t>a4vyf_a1f_N_P_a2b_c1g_P_a4_a2</t>
        </is>
      </c>
      <c r="T14" s="0" t="inlineStr">
        <is>
          <t>a4vyf</t>
        </is>
      </c>
      <c r="U14" s="0" t="inlineStr">
        <is>
          <t>a1f</t>
        </is>
      </c>
      <c r="V14" s="0" t="inlineStr">
        <is>
          <t>N</t>
        </is>
      </c>
      <c r="W14" s="0" t="inlineStr">
        <is>
          <t>P</t>
        </is>
      </c>
      <c r="X14" s="0" t="inlineStr">
        <is>
          <t>a2b</t>
        </is>
      </c>
      <c r="Y14" s="0" t="inlineStr">
        <is>
          <t>c1g</t>
        </is>
      </c>
      <c r="Z14" s="0" t="inlineStr">
        <is>
          <t>P</t>
        </is>
      </c>
      <c r="AA14" s="0" t="inlineStr">
        <is>
          <t>a4</t>
        </is>
      </c>
      <c r="AB14" s="0" t="inlineStr">
        <is>
          <t>a2</t>
        </is>
      </c>
    </row>
    <row r="15">
      <c r="A15" s="0" t="inlineStr">
        <is>
          <t>H14</t>
        </is>
      </c>
      <c r="C15" s="0" t="inlineStr">
        <is>
          <t>hazeka</t>
        </is>
      </c>
      <c r="D15" s="0" t="inlineStr">
        <is>
          <t>hazeka</t>
        </is>
      </c>
      <c r="F15" s="0" t="n">
        <v>22</v>
      </c>
      <c r="G15" s="0" t="inlineStr">
        <is>
          <t>lone</t>
        </is>
      </c>
      <c r="H15" s="0" t="inlineStr">
        <is>
          <t>lone</t>
        </is>
      </c>
      <c r="I15" s="0" t="inlineStr">
        <is>
          <t>lone</t>
        </is>
      </c>
      <c r="L15" s="0" t="inlineStr">
        <is>
          <t>24.11.20</t>
        </is>
      </c>
      <c r="M15" s="0" t="n">
        <v>1</v>
      </c>
      <c r="N15" s="0" t="n">
        <v>2</v>
      </c>
      <c r="O15" s="0" t="n">
        <v>0</v>
      </c>
      <c r="P15" s="0" t="n">
        <v>0</v>
      </c>
      <c r="Q15" s="0" t="n">
        <v>1</v>
      </c>
      <c r="R15" s="0" t="n">
        <v>3</v>
      </c>
      <c r="S15" s="0" t="inlineStr">
        <is>
          <t>a4vyf_a3f_a2_c1_c1_c3g_a3_a3_N</t>
        </is>
      </c>
      <c r="T15" s="0" t="inlineStr">
        <is>
          <t>a4vyf</t>
        </is>
      </c>
      <c r="U15" s="0" t="inlineStr">
        <is>
          <t>a3f</t>
        </is>
      </c>
      <c r="V15" s="0" t="inlineStr">
        <is>
          <t>a2</t>
        </is>
      </c>
      <c r="W15" s="0" t="inlineStr">
        <is>
          <t>c1</t>
        </is>
      </c>
      <c r="X15" s="0" t="inlineStr">
        <is>
          <t>c1</t>
        </is>
      </c>
      <c r="Y15" s="0" t="inlineStr">
        <is>
          <t>c3g</t>
        </is>
      </c>
      <c r="Z15" s="0" t="inlineStr">
        <is>
          <t>a3</t>
        </is>
      </c>
      <c r="AA15" s="0" t="inlineStr">
        <is>
          <t>a3</t>
        </is>
      </c>
      <c r="AB15" s="0" t="inlineStr">
        <is>
          <t>N</t>
        </is>
      </c>
    </row>
    <row r="16">
      <c r="A16" s="0" t="inlineStr">
        <is>
          <t>H15m</t>
        </is>
      </c>
      <c r="C16" s="0" t="inlineStr">
        <is>
          <t>makhfi, hazeka</t>
        </is>
      </c>
      <c r="D16" s="0" t="inlineStr">
        <is>
          <t>hazeka</t>
        </is>
      </c>
      <c r="E16" s="0" t="inlineStr">
        <is>
          <t>f</t>
        </is>
      </c>
      <c r="F16" s="0" t="inlineStr">
        <is>
          <t>22,28</t>
        </is>
      </c>
      <c r="G16" s="0" t="inlineStr">
        <is>
          <t>lone</t>
        </is>
      </c>
      <c r="H16" s="0" t="inlineStr">
        <is>
          <t>lone</t>
        </is>
      </c>
      <c r="I16" s="0" t="inlineStr">
        <is>
          <t>lone</t>
        </is>
      </c>
      <c r="K16" s="0" t="inlineStr">
        <is>
          <t>only one-sided sights, same code, probably the same wolf but not 100%</t>
        </is>
      </c>
      <c r="L16" s="0" t="inlineStr">
        <is>
          <t>27.8.20-10.9.20</t>
        </is>
      </c>
      <c r="M16" s="0" t="inlineStr">
        <is>
          <t>2*</t>
        </is>
      </c>
      <c r="N16" s="0" t="n">
        <v>2</v>
      </c>
      <c r="O16" s="0" t="n">
        <v>5</v>
      </c>
      <c r="P16" s="0" t="n">
        <v>0</v>
      </c>
      <c r="Q16" s="0" t="n">
        <v>0</v>
      </c>
      <c r="R16" s="0" t="n">
        <v>7</v>
      </c>
      <c r="S16" s="0" t="inlineStr">
        <is>
          <t>b1i_a1i_a1_b2_a2_c4g_a4_a4b5_a2</t>
        </is>
      </c>
      <c r="T16" s="0" t="inlineStr">
        <is>
          <t>b1i</t>
        </is>
      </c>
      <c r="U16" s="0" t="inlineStr">
        <is>
          <t>a1i</t>
        </is>
      </c>
      <c r="V16" s="0" t="inlineStr">
        <is>
          <t>a1</t>
        </is>
      </c>
      <c r="W16" s="0" t="inlineStr">
        <is>
          <t>b2</t>
        </is>
      </c>
      <c r="X16" s="0" t="inlineStr">
        <is>
          <t>a2</t>
        </is>
      </c>
      <c r="Y16" s="0" t="inlineStr">
        <is>
          <t>c4g</t>
        </is>
      </c>
      <c r="Z16" s="0" t="inlineStr">
        <is>
          <t>a4</t>
        </is>
      </c>
      <c r="AA16" s="0" t="inlineStr">
        <is>
          <t>a4b5</t>
        </is>
      </c>
      <c r="AB16" s="0" t="inlineStr">
        <is>
          <t>a2</t>
        </is>
      </c>
    </row>
    <row r="17">
      <c r="A17" s="0" t="inlineStr">
        <is>
          <t>K16</t>
        </is>
      </c>
      <c r="C17" s="0" t="inlineStr">
        <is>
          <t>Keshet-Yonatan</t>
        </is>
      </c>
      <c r="D17" s="0" t="inlineStr">
        <is>
          <t>Keshet-Yonatan</t>
        </is>
      </c>
      <c r="F17" s="0" t="n">
        <v>2</v>
      </c>
      <c r="G17" s="0" t="inlineStr">
        <is>
          <t>lone</t>
        </is>
      </c>
      <c r="H17" s="0" t="inlineStr">
        <is>
          <t>lone</t>
        </is>
      </c>
      <c r="I17" s="0" t="inlineStr">
        <is>
          <t>lone</t>
        </is>
      </c>
      <c r="L17" s="0" t="inlineStr">
        <is>
          <t>8.9.20</t>
        </is>
      </c>
      <c r="M17" s="0" t="n">
        <v>1</v>
      </c>
      <c r="N17" s="0" t="n">
        <v>0</v>
      </c>
      <c r="O17" s="0" t="n">
        <v>3</v>
      </c>
      <c r="P17" s="0" t="n">
        <v>0</v>
      </c>
      <c r="Q17" s="0" t="n">
        <v>1</v>
      </c>
      <c r="R17" s="0" t="n">
        <v>4</v>
      </c>
      <c r="S17" s="0" t="inlineStr">
        <is>
          <t>b1i_a3i_N_N_N_b1i_c_a4b5_a2</t>
        </is>
      </c>
      <c r="T17" s="0" t="inlineStr">
        <is>
          <t>b1i</t>
        </is>
      </c>
      <c r="U17" s="0" t="inlineStr">
        <is>
          <t>a3i</t>
        </is>
      </c>
      <c r="V17" s="0" t="inlineStr">
        <is>
          <t>N</t>
        </is>
      </c>
      <c r="W17" s="0" t="inlineStr">
        <is>
          <t>N</t>
        </is>
      </c>
      <c r="X17" s="0" t="inlineStr">
        <is>
          <t>N</t>
        </is>
      </c>
      <c r="Y17" s="0" t="inlineStr">
        <is>
          <t>b1i</t>
        </is>
      </c>
      <c r="Z17" s="0" t="inlineStr">
        <is>
          <t>c</t>
        </is>
      </c>
      <c r="AA17" s="0" t="inlineStr">
        <is>
          <t>a4b5</t>
        </is>
      </c>
      <c r="AB17" s="0" t="inlineStr">
        <is>
          <t>a2</t>
        </is>
      </c>
    </row>
    <row r="18">
      <c r="A18" s="0" t="inlineStr">
        <is>
          <t>K106</t>
        </is>
      </c>
      <c r="C18" s="0" t="inlineStr">
        <is>
          <t>Keshet-Yonatan</t>
        </is>
      </c>
      <c r="D18" s="0" t="inlineStr">
        <is>
          <t>Keshet-Yonatan</t>
        </is>
      </c>
      <c r="E18" s="0" t="inlineStr">
        <is>
          <t>f</t>
        </is>
      </c>
      <c r="F18" s="0" t="n">
        <v>5</v>
      </c>
      <c r="G18" s="0" t="inlineStr">
        <is>
          <t>lone</t>
        </is>
      </c>
      <c r="H18" s="0" t="inlineStr">
        <is>
          <t>lone</t>
        </is>
      </c>
      <c r="I18" s="0" t="inlineStr">
        <is>
          <t>lone</t>
        </is>
      </c>
      <c r="L18" s="0" t="inlineStr">
        <is>
          <t>25.8.20</t>
        </is>
      </c>
      <c r="M18" s="0" t="n">
        <v>1</v>
      </c>
      <c r="N18" s="0" t="n">
        <v>3</v>
      </c>
      <c r="O18" s="0" t="n">
        <v>0</v>
      </c>
      <c r="P18" s="0" t="n">
        <v>0</v>
      </c>
      <c r="Q18" s="0" t="n">
        <v>2</v>
      </c>
      <c r="R18" s="0" t="n">
        <v>5</v>
      </c>
      <c r="S18" s="0" t="inlineStr">
        <is>
          <t>d1m_a1i_N_N_N_dk_N_a4_a2</t>
        </is>
      </c>
      <c r="T18" s="0" t="inlineStr">
        <is>
          <t>d1m</t>
        </is>
      </c>
      <c r="U18" s="0" t="inlineStr">
        <is>
          <t>a1i</t>
        </is>
      </c>
      <c r="V18" s="0" t="inlineStr">
        <is>
          <t>N</t>
        </is>
      </c>
      <c r="W18" s="0" t="inlineStr">
        <is>
          <t>N</t>
        </is>
      </c>
      <c r="X18" s="0" t="inlineStr">
        <is>
          <t>N</t>
        </is>
      </c>
      <c r="Y18" s="0" t="inlineStr">
        <is>
          <t>dk</t>
        </is>
      </c>
      <c r="Z18" s="0" t="inlineStr">
        <is>
          <t>N</t>
        </is>
      </c>
      <c r="AA18" s="0" t="inlineStr">
        <is>
          <t>a4</t>
        </is>
      </c>
      <c r="AB18" s="0" t="inlineStr">
        <is>
          <t>a2</t>
        </is>
      </c>
    </row>
    <row r="19">
      <c r="A19" s="0" t="inlineStr">
        <is>
          <t>K17f</t>
        </is>
      </c>
      <c r="C19" s="0" t="inlineStr">
        <is>
          <t>Keshet-Yonatan, Firing-Zone</t>
        </is>
      </c>
      <c r="D19" s="0" t="inlineStr">
        <is>
          <t>Keshet-Yonatan</t>
        </is>
      </c>
      <c r="E19" s="0" t="inlineStr">
        <is>
          <t>m</t>
        </is>
      </c>
      <c r="F19" s="0" t="inlineStr">
        <is>
          <t>3, 51</t>
        </is>
      </c>
      <c r="G19" s="0" t="inlineStr">
        <is>
          <t>lone</t>
        </is>
      </c>
      <c r="H19" s="0" t="inlineStr">
        <is>
          <t>lone</t>
        </is>
      </c>
      <c r="I19" s="0" t="inlineStr">
        <is>
          <t>lone</t>
        </is>
      </c>
      <c r="K19" s="0" t="inlineStr">
        <is>
          <t>2 light circels on the cheek, poor quality, recognized by uniqe circles on cheek</t>
        </is>
      </c>
      <c r="L19" s="0" t="inlineStr">
        <is>
          <t>24.8.20-28.10.20</t>
        </is>
      </c>
      <c r="M19" s="0" t="inlineStr">
        <is>
          <t>3*</t>
        </is>
      </c>
      <c r="N19" s="0" t="n">
        <v>1</v>
      </c>
      <c r="O19" s="0" t="n">
        <v>4</v>
      </c>
      <c r="P19" s="0" t="n">
        <v>2</v>
      </c>
      <c r="Q19" s="0" t="n">
        <v>0</v>
      </c>
      <c r="R19" s="0" t="n">
        <v>7</v>
      </c>
      <c r="S19" s="0" t="inlineStr">
        <is>
          <t>c2xN_a5i_a2_c1_c1_b1g_N_a4b5_a2</t>
        </is>
      </c>
      <c r="T19" s="0" t="inlineStr">
        <is>
          <t>c2xN</t>
        </is>
      </c>
      <c r="U19" s="0" t="inlineStr">
        <is>
          <t>a5i</t>
        </is>
      </c>
      <c r="V19" s="0" t="inlineStr">
        <is>
          <t>a2</t>
        </is>
      </c>
      <c r="W19" s="0" t="inlineStr">
        <is>
          <t>c1</t>
        </is>
      </c>
      <c r="X19" s="0" t="inlineStr">
        <is>
          <t>c1</t>
        </is>
      </c>
      <c r="Y19" s="0" t="inlineStr">
        <is>
          <t>b1g</t>
        </is>
      </c>
      <c r="Z19" s="0" t="inlineStr">
        <is>
          <t>N</t>
        </is>
      </c>
      <c r="AA19" s="0" t="inlineStr">
        <is>
          <t>a4b5</t>
        </is>
      </c>
      <c r="AB19" s="0" t="inlineStr">
        <is>
          <t>a2</t>
        </is>
      </c>
    </row>
    <row r="20">
      <c r="A20" s="0" t="inlineStr">
        <is>
          <t>S18</t>
        </is>
      </c>
      <c r="C20" s="0" t="inlineStr">
        <is>
          <t>Saki</t>
        </is>
      </c>
      <c r="D20" s="0" t="inlineStr">
        <is>
          <t>Saki</t>
        </is>
      </c>
      <c r="E20" s="0" t="inlineStr">
        <is>
          <t>f</t>
        </is>
      </c>
      <c r="F20" s="0" t="n">
        <v>11</v>
      </c>
      <c r="G20" s="0" t="inlineStr">
        <is>
          <t>lone</t>
        </is>
      </c>
      <c r="H20" s="0" t="inlineStr">
        <is>
          <t>lone</t>
        </is>
      </c>
      <c r="I20" s="0" t="inlineStr">
        <is>
          <t>lone</t>
        </is>
      </c>
      <c r="L20" s="0" t="inlineStr">
        <is>
          <t>25.11.20</t>
        </is>
      </c>
      <c r="M20" s="0" t="n">
        <v>1</v>
      </c>
      <c r="N20" s="0" t="n">
        <v>0</v>
      </c>
      <c r="O20" s="0" t="n">
        <v>4</v>
      </c>
      <c r="P20" s="0" t="n">
        <v>0</v>
      </c>
      <c r="Q20" s="0" t="n">
        <v>0</v>
      </c>
      <c r="R20" s="0" t="n">
        <v>4</v>
      </c>
      <c r="S20" s="0" t="inlineStr">
        <is>
          <t>a1vxe_a10e_b_c2a_c2a_c1f_b1_a4b5_a4</t>
        </is>
      </c>
      <c r="T20" s="0" t="inlineStr">
        <is>
          <t>a1vxe</t>
        </is>
      </c>
      <c r="U20" s="0" t="inlineStr">
        <is>
          <t>a10e</t>
        </is>
      </c>
      <c r="V20" s="0" t="inlineStr">
        <is>
          <t>b</t>
        </is>
      </c>
      <c r="W20" s="0" t="inlineStr">
        <is>
          <t>c2a</t>
        </is>
      </c>
      <c r="X20" s="0" t="inlineStr">
        <is>
          <t>c2a</t>
        </is>
      </c>
      <c r="Y20" s="0" t="inlineStr">
        <is>
          <t>c1f</t>
        </is>
      </c>
      <c r="Z20" s="0" t="inlineStr">
        <is>
          <t>b1</t>
        </is>
      </c>
      <c r="AA20" s="0" t="inlineStr">
        <is>
          <t>a4b5</t>
        </is>
      </c>
      <c r="AB20" s="0" t="inlineStr">
        <is>
          <t>a4</t>
        </is>
      </c>
    </row>
    <row r="21">
      <c r="A21" s="0" t="inlineStr">
        <is>
          <t>S100</t>
        </is>
      </c>
      <c r="C21" s="0" t="inlineStr">
        <is>
          <t>Saki</t>
        </is>
      </c>
      <c r="D21" s="0" t="inlineStr">
        <is>
          <t>Saki</t>
        </is>
      </c>
      <c r="E21" s="0" t="inlineStr">
        <is>
          <t>f</t>
        </is>
      </c>
      <c r="F21" s="0" t="n">
        <v>11</v>
      </c>
      <c r="G21" s="0" t="inlineStr">
        <is>
          <t>lone</t>
        </is>
      </c>
      <c r="H21" s="0" t="inlineStr">
        <is>
          <t>lone</t>
        </is>
      </c>
      <c r="I21" s="0" t="inlineStr">
        <is>
          <t>lone</t>
        </is>
      </c>
      <c r="L21" s="0" t="inlineStr">
        <is>
          <t>30.11.20</t>
        </is>
      </c>
      <c r="M21" s="0" t="n">
        <v>1</v>
      </c>
      <c r="N21" s="0" t="n">
        <v>0</v>
      </c>
      <c r="O21" s="0" t="n">
        <v>4</v>
      </c>
      <c r="P21" s="0" t="n">
        <v>0</v>
      </c>
      <c r="Q21" s="0" t="n">
        <v>0</v>
      </c>
      <c r="R21" s="0" t="n">
        <v>4</v>
      </c>
      <c r="S21" s="0" t="inlineStr">
        <is>
          <t>a2txf_a1e_a2b_c1b_c1b_c1g_b1_a4b5_a4</t>
        </is>
      </c>
      <c r="T21" s="0" t="inlineStr">
        <is>
          <t>a2txf</t>
        </is>
      </c>
      <c r="U21" s="0" t="inlineStr">
        <is>
          <t>a1e</t>
        </is>
      </c>
      <c r="V21" s="0" t="inlineStr">
        <is>
          <t>a2b</t>
        </is>
      </c>
      <c r="W21" s="0" t="inlineStr">
        <is>
          <t>c1b</t>
        </is>
      </c>
      <c r="X21" s="0" t="inlineStr">
        <is>
          <t>c1b</t>
        </is>
      </c>
      <c r="Y21" s="0" t="inlineStr">
        <is>
          <t>c1g</t>
        </is>
      </c>
      <c r="Z21" s="0" t="inlineStr">
        <is>
          <t>b1</t>
        </is>
      </c>
      <c r="AA21" s="0" t="inlineStr">
        <is>
          <t>a4b5</t>
        </is>
      </c>
      <c r="AB21" s="0" t="inlineStr">
        <is>
          <t>a4</t>
        </is>
      </c>
    </row>
    <row r="22">
      <c r="A22" s="0" t="inlineStr">
        <is>
          <t>S19</t>
        </is>
      </c>
      <c r="C22" s="0" t="inlineStr">
        <is>
          <t>Saki</t>
        </is>
      </c>
      <c r="D22" s="0" t="inlineStr">
        <is>
          <t>Saki</t>
        </is>
      </c>
      <c r="F22" s="0" t="n">
        <v>12</v>
      </c>
      <c r="G22" s="0" t="inlineStr">
        <is>
          <t>lone</t>
        </is>
      </c>
      <c r="H22" s="0" t="inlineStr">
        <is>
          <t>lone</t>
        </is>
      </c>
      <c r="I22" s="0" t="inlineStr">
        <is>
          <t>lone</t>
        </is>
      </c>
      <c r="L22" s="0" t="inlineStr">
        <is>
          <t>10.12.20</t>
        </is>
      </c>
      <c r="M22" s="0" t="n">
        <v>1</v>
      </c>
      <c r="N22" s="0" t="n">
        <v>0</v>
      </c>
      <c r="O22" s="0" t="n">
        <v>2</v>
      </c>
      <c r="P22" s="0" t="n">
        <v>0</v>
      </c>
      <c r="Q22" s="0" t="n">
        <v>1</v>
      </c>
      <c r="R22" s="0" t="n">
        <v>3</v>
      </c>
      <c r="S22" s="0" t="inlineStr">
        <is>
          <t>a4txf_a3f_N_P_N_c1g_c_a4b5_a2</t>
        </is>
      </c>
      <c r="T22" s="0" t="inlineStr">
        <is>
          <t>a4txf</t>
        </is>
      </c>
      <c r="U22" s="0" t="inlineStr">
        <is>
          <t>a3f</t>
        </is>
      </c>
      <c r="V22" s="0" t="inlineStr">
        <is>
          <t>N</t>
        </is>
      </c>
      <c r="W22" s="0" t="inlineStr">
        <is>
          <t>P</t>
        </is>
      </c>
      <c r="X22" s="0" t="inlineStr">
        <is>
          <t>N</t>
        </is>
      </c>
      <c r="Y22" s="0" t="inlineStr">
        <is>
          <t>c1g</t>
        </is>
      </c>
      <c r="Z22" s="0" t="inlineStr">
        <is>
          <t>c</t>
        </is>
      </c>
      <c r="AA22" s="0" t="inlineStr">
        <is>
          <t>a4b5</t>
        </is>
      </c>
      <c r="AB22" s="0" t="inlineStr">
        <is>
          <t>a2</t>
        </is>
      </c>
    </row>
    <row r="23">
      <c r="A23" s="0" t="inlineStr">
        <is>
          <t>S20</t>
        </is>
      </c>
      <c r="C23" s="0" t="inlineStr">
        <is>
          <t>Saki</t>
        </is>
      </c>
      <c r="D23" s="0" t="inlineStr">
        <is>
          <t>Saki</t>
        </is>
      </c>
      <c r="E23" s="0" t="inlineStr">
        <is>
          <t>f</t>
        </is>
      </c>
      <c r="F23" s="0" t="n">
        <v>15</v>
      </c>
      <c r="G23" s="0" t="inlineStr">
        <is>
          <t>lone</t>
        </is>
      </c>
      <c r="H23" s="0" t="inlineStr">
        <is>
          <t>lone</t>
        </is>
      </c>
      <c r="I23" s="0" t="inlineStr">
        <is>
          <t>lone</t>
        </is>
      </c>
      <c r="L23" s="0" t="inlineStr">
        <is>
          <t>15.10.20</t>
        </is>
      </c>
      <c r="M23" s="0" t="n">
        <v>1</v>
      </c>
      <c r="N23" s="0" t="n">
        <v>1</v>
      </c>
      <c r="O23" s="0" t="n">
        <v>3</v>
      </c>
      <c r="P23" s="0" t="n">
        <v>1</v>
      </c>
      <c r="Q23" s="0" t="n">
        <v>0</v>
      </c>
      <c r="R23" s="0" t="n">
        <v>5</v>
      </c>
      <c r="S23" s="0" t="inlineStr">
        <is>
          <t>b3j_a1j_a2a_c2a_c2a_c2g_b1_a4b1_a2</t>
        </is>
      </c>
      <c r="T23" s="0" t="inlineStr">
        <is>
          <t>b3j</t>
        </is>
      </c>
      <c r="U23" s="0" t="inlineStr">
        <is>
          <t>a1j</t>
        </is>
      </c>
      <c r="V23" s="0" t="inlineStr">
        <is>
          <t>a2a</t>
        </is>
      </c>
      <c r="W23" s="0" t="inlineStr">
        <is>
          <t>c2a</t>
        </is>
      </c>
      <c r="X23" s="0" t="inlineStr">
        <is>
          <t>c2a</t>
        </is>
      </c>
      <c r="Y23" s="0" t="inlineStr">
        <is>
          <t>c2g</t>
        </is>
      </c>
      <c r="Z23" s="0" t="inlineStr">
        <is>
          <t>b1</t>
        </is>
      </c>
      <c r="AA23" s="0" t="inlineStr">
        <is>
          <t>a4b1</t>
        </is>
      </c>
      <c r="AB23" s="0" t="inlineStr">
        <is>
          <t>a2</t>
        </is>
      </c>
    </row>
    <row r="24">
      <c r="A24" s="0" t="inlineStr">
        <is>
          <t>S21</t>
        </is>
      </c>
      <c r="C24" s="0" t="inlineStr">
        <is>
          <t>Saki</t>
        </is>
      </c>
      <c r="D24" s="0" t="inlineStr">
        <is>
          <t>Saki</t>
        </is>
      </c>
      <c r="F24" s="0" t="n">
        <v>12</v>
      </c>
      <c r="G24" s="0" t="inlineStr">
        <is>
          <t>unknown</t>
        </is>
      </c>
      <c r="H24" s="0" t="inlineStr">
        <is>
          <t>unknown</t>
        </is>
      </c>
      <c r="I24" s="0" t="inlineStr">
        <is>
          <t>indeterminate</t>
        </is>
      </c>
      <c r="L24" s="0" t="inlineStr">
        <is>
          <t>25.11.20</t>
        </is>
      </c>
      <c r="M24" s="0" t="n">
        <v>1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3</v>
      </c>
      <c r="S24" s="0" t="inlineStr">
        <is>
          <t>a2wxi_a6e_a3b_c1b_c1b_c2g_b1_a4b5_a1</t>
        </is>
      </c>
      <c r="T24" s="0" t="inlineStr">
        <is>
          <t>a2wxi</t>
        </is>
      </c>
      <c r="U24" s="0" t="inlineStr">
        <is>
          <t>a6e</t>
        </is>
      </c>
      <c r="V24" s="0" t="inlineStr">
        <is>
          <t>a3b</t>
        </is>
      </c>
      <c r="W24" s="0" t="inlineStr">
        <is>
          <t>c1b</t>
        </is>
      </c>
      <c r="X24" s="0" t="inlineStr">
        <is>
          <t>c1b</t>
        </is>
      </c>
      <c r="Y24" s="0" t="inlineStr">
        <is>
          <t>c2g</t>
        </is>
      </c>
      <c r="Z24" s="0" t="inlineStr">
        <is>
          <t>b1</t>
        </is>
      </c>
      <c r="AA24" s="0" t="inlineStr">
        <is>
          <t>a4b5</t>
        </is>
      </c>
      <c r="AB24" s="0" t="inlineStr">
        <is>
          <t>a1</t>
        </is>
      </c>
    </row>
    <row r="25">
      <c r="A25" s="0" t="inlineStr">
        <is>
          <t>S104</t>
        </is>
      </c>
      <c r="C25" s="0" t="inlineStr">
        <is>
          <t>Saki</t>
        </is>
      </c>
      <c r="D25" s="0" t="inlineStr">
        <is>
          <t>Saki</t>
        </is>
      </c>
      <c r="F25" s="0" t="n">
        <v>12</v>
      </c>
      <c r="G25" s="0" t="inlineStr">
        <is>
          <t>unknown</t>
        </is>
      </c>
      <c r="H25" s="0" t="inlineStr">
        <is>
          <t>unknown</t>
        </is>
      </c>
      <c r="I25" s="0" t="inlineStr">
        <is>
          <t>indeterminate</t>
        </is>
      </c>
      <c r="L25" s="0" t="inlineStr">
        <is>
          <t>16.11.20</t>
        </is>
      </c>
      <c r="M25" s="0" t="n">
        <v>1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3</v>
      </c>
      <c r="S25" s="0" t="inlineStr">
        <is>
          <t>a2wzf_a11e_a2b_b1b_Ra1bLa2b_c3g_c_a4b5_a1</t>
        </is>
      </c>
      <c r="T25" s="0" t="inlineStr">
        <is>
          <t>a2wzf</t>
        </is>
      </c>
      <c r="U25" s="0" t="inlineStr">
        <is>
          <t>a11e</t>
        </is>
      </c>
      <c r="V25" s="0" t="inlineStr">
        <is>
          <t>a2b</t>
        </is>
      </c>
      <c r="W25" s="0" t="inlineStr">
        <is>
          <t>b1b</t>
        </is>
      </c>
      <c r="X25" s="0" t="inlineStr">
        <is>
          <t>Ra1bLa2b</t>
        </is>
      </c>
      <c r="Y25" s="0" t="inlineStr">
        <is>
          <t>c3g</t>
        </is>
      </c>
      <c r="Z25" s="0" t="inlineStr">
        <is>
          <t>c</t>
        </is>
      </c>
      <c r="AA25" s="0" t="inlineStr">
        <is>
          <t>a4b5</t>
        </is>
      </c>
      <c r="AB25" s="0" t="inlineStr">
        <is>
          <t>a1</t>
        </is>
      </c>
    </row>
    <row r="26">
      <c r="A26" s="0" t="inlineStr">
        <is>
          <t>F22</t>
        </is>
      </c>
      <c r="C26" s="0" t="inlineStr">
        <is>
          <t>Firing-Zone</t>
        </is>
      </c>
      <c r="D26" s="0" t="inlineStr">
        <is>
          <t>Firing-Zone</t>
        </is>
      </c>
      <c r="F26" s="0" t="n">
        <v>53</v>
      </c>
      <c r="G26" s="0" t="inlineStr">
        <is>
          <t>group*</t>
        </is>
      </c>
      <c r="H26" s="0" t="inlineStr">
        <is>
          <t>group*</t>
        </is>
      </c>
      <c r="I26" s="0" t="inlineStr">
        <is>
          <t>fire zone group*</t>
        </is>
      </c>
      <c r="L26" s="0" t="inlineStr">
        <is>
          <t>03.11.20</t>
        </is>
      </c>
      <c r="M26" s="0" t="n">
        <v>1</v>
      </c>
      <c r="N26" s="0" t="n">
        <v>3</v>
      </c>
      <c r="O26" s="0" t="n">
        <v>0</v>
      </c>
      <c r="P26" s="0" t="n">
        <v>0</v>
      </c>
      <c r="Q26" s="0" t="n">
        <v>0</v>
      </c>
      <c r="R26" s="0" t="n">
        <v>3</v>
      </c>
      <c r="S26" s="0" t="inlineStr">
        <is>
          <t>a2tyj_a4j_a2_P_P_c3i_N_a4b4_a2</t>
        </is>
      </c>
      <c r="T26" s="0" t="inlineStr">
        <is>
          <t>a2tyj</t>
        </is>
      </c>
      <c r="U26" s="0" t="inlineStr">
        <is>
          <t>a4j</t>
        </is>
      </c>
      <c r="V26" s="0" t="inlineStr">
        <is>
          <t>a2</t>
        </is>
      </c>
      <c r="W26" s="0" t="inlineStr">
        <is>
          <t>P</t>
        </is>
      </c>
      <c r="X26" s="0" t="inlineStr">
        <is>
          <t>P</t>
        </is>
      </c>
      <c r="Y26" s="0" t="inlineStr">
        <is>
          <t>c3i</t>
        </is>
      </c>
      <c r="Z26" s="0" t="inlineStr">
        <is>
          <t>N</t>
        </is>
      </c>
      <c r="AA26" s="0" t="inlineStr">
        <is>
          <t>a4b4</t>
        </is>
      </c>
      <c r="AB26" s="0" t="inlineStr">
        <is>
          <t>a2</t>
        </is>
      </c>
    </row>
    <row r="27">
      <c r="A27" s="0" t="inlineStr">
        <is>
          <t>F23</t>
        </is>
      </c>
      <c r="C27" s="0" t="inlineStr">
        <is>
          <t>Firing-Zone</t>
        </is>
      </c>
      <c r="D27" s="0" t="inlineStr">
        <is>
          <t>Firing-Zone</t>
        </is>
      </c>
      <c r="F27" s="0" t="n">
        <v>53</v>
      </c>
      <c r="G27" s="0" t="inlineStr">
        <is>
          <t>group</t>
        </is>
      </c>
      <c r="I27" s="0" t="inlineStr">
        <is>
          <t>fire zone group</t>
        </is>
      </c>
      <c r="J27" s="0" t="inlineStr">
        <is>
          <t>unknown, F24</t>
        </is>
      </c>
      <c r="K27" s="0" t="inlineStr">
        <is>
          <t>collared</t>
        </is>
      </c>
      <c r="L27" s="0" t="inlineStr">
        <is>
          <t>03.11.20</t>
        </is>
      </c>
      <c r="M27" s="0" t="n">
        <v>1</v>
      </c>
      <c r="N27" s="0" t="n">
        <v>0</v>
      </c>
      <c r="O27" s="0" t="n">
        <v>3</v>
      </c>
      <c r="P27" s="0" t="n">
        <v>0</v>
      </c>
      <c r="Q27" s="0" t="n">
        <v>0</v>
      </c>
      <c r="R27" s="0" t="n">
        <v>3</v>
      </c>
      <c r="S27" s="0" t="inlineStr">
        <is>
          <t>z1i_a5i_P_P_N_N_N_N_N</t>
        </is>
      </c>
      <c r="T27" s="0" t="inlineStr">
        <is>
          <t>z1i</t>
        </is>
      </c>
      <c r="U27" s="0" t="inlineStr">
        <is>
          <t>a5i</t>
        </is>
      </c>
      <c r="V27" s="0" t="inlineStr">
        <is>
          <t>P</t>
        </is>
      </c>
      <c r="W27" s="0" t="inlineStr">
        <is>
          <t>P</t>
        </is>
      </c>
      <c r="X27" s="0" t="inlineStr">
        <is>
          <t>N</t>
        </is>
      </c>
      <c r="Y27" s="0" t="inlineStr">
        <is>
          <t>N</t>
        </is>
      </c>
      <c r="Z27" s="0" t="inlineStr">
        <is>
          <t>N</t>
        </is>
      </c>
      <c r="AA27" s="0" t="inlineStr">
        <is>
          <t>N</t>
        </is>
      </c>
      <c r="AB27" s="0" t="inlineStr">
        <is>
          <t>N</t>
        </is>
      </c>
    </row>
    <row r="28">
      <c r="A28" s="0" t="inlineStr">
        <is>
          <t>F24</t>
        </is>
      </c>
      <c r="C28" s="0" t="inlineStr">
        <is>
          <t>Firing-Zone</t>
        </is>
      </c>
      <c r="D28" s="0" t="inlineStr">
        <is>
          <t>Firing-Zone</t>
        </is>
      </c>
      <c r="F28" s="0" t="n">
        <v>53</v>
      </c>
      <c r="G28" s="0" t="inlineStr">
        <is>
          <t>group</t>
        </is>
      </c>
      <c r="I28" s="0" t="inlineStr">
        <is>
          <t>fire zone group</t>
        </is>
      </c>
      <c r="J28" s="0" t="inlineStr">
        <is>
          <t>F23, unknown</t>
        </is>
      </c>
      <c r="K28" s="0" t="inlineStr">
        <is>
          <t>red collar</t>
        </is>
      </c>
      <c r="L28" s="0" t="inlineStr">
        <is>
          <t>03.11.20</t>
        </is>
      </c>
      <c r="M28" s="0" t="n">
        <v>1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2</v>
      </c>
      <c r="S28" s="0" t="inlineStr">
        <is>
          <t>z1h_a5f_N_N_N_h_N_a4_N</t>
        </is>
      </c>
      <c r="T28" s="0" t="inlineStr">
        <is>
          <t>z1h</t>
        </is>
      </c>
      <c r="U28" s="0" t="inlineStr">
        <is>
          <t>a5f</t>
        </is>
      </c>
      <c r="V28" s="0" t="inlineStr">
        <is>
          <t>N</t>
        </is>
      </c>
      <c r="W28" s="0" t="inlineStr">
        <is>
          <t>N</t>
        </is>
      </c>
      <c r="X28" s="0" t="inlineStr">
        <is>
          <t>N</t>
        </is>
      </c>
      <c r="Y28" s="0" t="inlineStr">
        <is>
          <t>h</t>
        </is>
      </c>
      <c r="Z28" s="0" t="inlineStr">
        <is>
          <t>N</t>
        </is>
      </c>
      <c r="AA28" s="0" t="inlineStr">
        <is>
          <t>a4</t>
        </is>
      </c>
      <c r="AB28" s="0" t="inlineStr">
        <is>
          <t>N</t>
        </is>
      </c>
    </row>
    <row r="29">
      <c r="A29" s="0" t="inlineStr">
        <is>
          <t>F26</t>
        </is>
      </c>
      <c r="C29" s="0" t="inlineStr">
        <is>
          <t>Firing-Zone</t>
        </is>
      </c>
      <c r="D29" s="0" t="inlineStr">
        <is>
          <t>Firing-Zone</t>
        </is>
      </c>
      <c r="F29" s="0" t="n">
        <v>54</v>
      </c>
      <c r="G29" s="0" t="inlineStr">
        <is>
          <t>lone</t>
        </is>
      </c>
      <c r="I29" s="0" t="inlineStr">
        <is>
          <t>lone</t>
        </is>
      </c>
      <c r="K29" s="0" t="inlineStr">
        <is>
          <t>massive, dark back and tail, brown eyes</t>
        </is>
      </c>
      <c r="L29" s="0" t="inlineStr">
        <is>
          <t>5-23.10.20</t>
        </is>
      </c>
      <c r="M29" s="0" t="n">
        <v>1</v>
      </c>
      <c r="N29" s="0" t="n">
        <v>0</v>
      </c>
      <c r="O29" s="0" t="n">
        <v>0</v>
      </c>
      <c r="P29" s="0" t="n">
        <v>2</v>
      </c>
      <c r="Q29" s="0" t="n">
        <v>0</v>
      </c>
      <c r="R29" s="0" t="n">
        <v>2</v>
      </c>
      <c r="S29" s="0" t="inlineStr">
        <is>
          <t>b1g_a2g_a1b_b1b_a1b_c3h_a3_a3_N</t>
        </is>
      </c>
      <c r="T29" s="0" t="inlineStr">
        <is>
          <t>b1g</t>
        </is>
      </c>
      <c r="U29" s="0" t="inlineStr">
        <is>
          <t>a2g</t>
        </is>
      </c>
      <c r="V29" s="0" t="inlineStr">
        <is>
          <t>a1b</t>
        </is>
      </c>
      <c r="W29" s="0" t="inlineStr">
        <is>
          <t>b1b</t>
        </is>
      </c>
      <c r="X29" s="0" t="inlineStr">
        <is>
          <t>a1b</t>
        </is>
      </c>
      <c r="Y29" s="0" t="inlineStr">
        <is>
          <t>c3h</t>
        </is>
      </c>
      <c r="Z29" s="0" t="inlineStr">
        <is>
          <t>a3</t>
        </is>
      </c>
      <c r="AA29" s="0" t="inlineStr">
        <is>
          <t>a3</t>
        </is>
      </c>
      <c r="AB29" s="0" t="inlineStr">
        <is>
          <t>N</t>
        </is>
      </c>
    </row>
    <row r="30">
      <c r="A30" s="0" t="inlineStr">
        <is>
          <t>Y27</t>
        </is>
      </c>
      <c r="C30" s="0" t="inlineStr">
        <is>
          <t>Yehodiya</t>
        </is>
      </c>
      <c r="D30" s="0" t="inlineStr">
        <is>
          <t>Yehodiya</t>
        </is>
      </c>
      <c r="F30" s="0" t="n">
        <v>7</v>
      </c>
      <c r="G30" s="0" t="inlineStr">
        <is>
          <t>pack</t>
        </is>
      </c>
      <c r="I30" s="0" t="inlineStr">
        <is>
          <t>dark pack</t>
        </is>
      </c>
      <c r="J30" s="0" t="inlineStr">
        <is>
          <t>seen together</t>
        </is>
      </c>
      <c r="K30" s="0" t="inlineStr">
        <is>
          <t>dark face</t>
        </is>
      </c>
      <c r="L30" s="0" t="inlineStr">
        <is>
          <t>22.11.20</t>
        </is>
      </c>
      <c r="M30" s="0" t="n">
        <v>1</v>
      </c>
      <c r="N30" s="0" t="n">
        <v>0</v>
      </c>
      <c r="O30" s="0" t="n">
        <v>3</v>
      </c>
      <c r="P30" s="0" t="n">
        <v>0</v>
      </c>
      <c r="Q30" s="0" t="n">
        <v>0</v>
      </c>
      <c r="R30" s="0" t="n">
        <v>3</v>
      </c>
      <c r="S30" s="0" t="inlineStr">
        <is>
          <t>a3vze_a4e_a2a_d_a1b_c1e_a1_a1b1_a2</t>
        </is>
      </c>
      <c r="T30" s="0" t="inlineStr">
        <is>
          <t>a3vze</t>
        </is>
      </c>
      <c r="U30" s="0" t="inlineStr">
        <is>
          <t>a4e</t>
        </is>
      </c>
      <c r="V30" s="0" t="inlineStr">
        <is>
          <t>a2a</t>
        </is>
      </c>
      <c r="W30" s="0" t="inlineStr">
        <is>
          <t>d</t>
        </is>
      </c>
      <c r="X30" s="0" t="inlineStr">
        <is>
          <t>a1b</t>
        </is>
      </c>
      <c r="Y30" s="0" t="inlineStr">
        <is>
          <t>c1e</t>
        </is>
      </c>
      <c r="Z30" s="0" t="inlineStr">
        <is>
          <t>a1</t>
        </is>
      </c>
      <c r="AA30" s="0" t="inlineStr">
        <is>
          <t>a1b1</t>
        </is>
      </c>
      <c r="AB30" s="0" t="inlineStr">
        <is>
          <t>a2</t>
        </is>
      </c>
    </row>
    <row r="31">
      <c r="A31" s="0" t="inlineStr">
        <is>
          <t>Y101</t>
        </is>
      </c>
      <c r="C31" s="0" t="inlineStr">
        <is>
          <t>Yehodiya</t>
        </is>
      </c>
      <c r="D31" s="0" t="inlineStr">
        <is>
          <t>Yehodiya</t>
        </is>
      </c>
      <c r="F31" s="0" t="n">
        <v>6</v>
      </c>
      <c r="G31" s="0" t="inlineStr">
        <is>
          <t>lone</t>
        </is>
      </c>
      <c r="I31" s="0" t="inlineStr">
        <is>
          <t>lone</t>
        </is>
      </c>
      <c r="L31" s="0" t="inlineStr">
        <is>
          <t>6.12.20</t>
        </is>
      </c>
      <c r="M31" s="0" t="n">
        <v>1</v>
      </c>
      <c r="N31" s="0" t="n">
        <v>4</v>
      </c>
      <c r="O31" s="0" t="n">
        <v>0</v>
      </c>
      <c r="P31" s="0" t="n">
        <v>0</v>
      </c>
      <c r="Q31" s="0" t="n">
        <v>0</v>
      </c>
      <c r="R31" s="0" t="n">
        <v>4</v>
      </c>
      <c r="S31" s="0" t="inlineStr">
        <is>
          <t>a4uze_a4e_a2b_c2b_c2b_c1e_a3_a3b5_a2</t>
        </is>
      </c>
      <c r="T31" s="0" t="inlineStr">
        <is>
          <t>a4uze</t>
        </is>
      </c>
      <c r="U31" s="0" t="inlineStr">
        <is>
          <t>a4e</t>
        </is>
      </c>
      <c r="V31" s="0" t="inlineStr">
        <is>
          <t>a2b</t>
        </is>
      </c>
      <c r="W31" s="0" t="inlineStr">
        <is>
          <t>c2b</t>
        </is>
      </c>
      <c r="X31" s="0" t="inlineStr">
        <is>
          <t>c2b</t>
        </is>
      </c>
      <c r="Y31" s="0" t="inlineStr">
        <is>
          <t>c1e</t>
        </is>
      </c>
      <c r="Z31" s="0" t="inlineStr">
        <is>
          <t>a3</t>
        </is>
      </c>
      <c r="AA31" s="0" t="inlineStr">
        <is>
          <t>a3b5</t>
        </is>
      </c>
      <c r="AB31" s="0" t="inlineStr">
        <is>
          <t>a2</t>
        </is>
      </c>
    </row>
    <row r="32">
      <c r="A32" s="0" t="inlineStr">
        <is>
          <t>Y28</t>
        </is>
      </c>
      <c r="C32" s="0" t="inlineStr">
        <is>
          <t>Yehodiya</t>
        </is>
      </c>
      <c r="D32" s="0" t="inlineStr">
        <is>
          <t>Yehodiya</t>
        </is>
      </c>
      <c r="F32" s="0" t="n">
        <v>7</v>
      </c>
      <c r="G32" s="0" t="inlineStr">
        <is>
          <t>lone</t>
        </is>
      </c>
      <c r="I32" s="0" t="inlineStr">
        <is>
          <t>lone</t>
        </is>
      </c>
      <c r="K32" s="0" t="inlineStr">
        <is>
          <t xml:space="preserve">mostly honey </t>
        </is>
      </c>
      <c r="L32" s="0" t="inlineStr">
        <is>
          <t>18.9.20</t>
        </is>
      </c>
      <c r="M32" s="0" t="n">
        <v>1</v>
      </c>
      <c r="N32" s="0" t="n">
        <v>0</v>
      </c>
      <c r="O32" s="0" t="n">
        <v>2</v>
      </c>
      <c r="P32" s="0" t="n">
        <v>0</v>
      </c>
      <c r="Q32" s="0" t="n">
        <v>0</v>
      </c>
      <c r="R32" s="0" t="n">
        <v>2</v>
      </c>
      <c r="S32" s="0" t="inlineStr">
        <is>
          <t>N_a1k_P_P_P_ci_N_a6b5_a1</t>
        </is>
      </c>
      <c r="T32" s="0" t="inlineStr">
        <is>
          <t>N</t>
        </is>
      </c>
      <c r="U32" s="0" t="inlineStr">
        <is>
          <t>a1k</t>
        </is>
      </c>
      <c r="V32" s="0" t="inlineStr">
        <is>
          <t>P</t>
        </is>
      </c>
      <c r="W32" s="0" t="inlineStr">
        <is>
          <t>P</t>
        </is>
      </c>
      <c r="X32" s="0" t="inlineStr">
        <is>
          <t>P</t>
        </is>
      </c>
      <c r="Y32" s="0" t="inlineStr">
        <is>
          <t>ci</t>
        </is>
      </c>
      <c r="Z32" s="0" t="inlineStr">
        <is>
          <t>N</t>
        </is>
      </c>
      <c r="AA32" s="0" t="inlineStr">
        <is>
          <t>a6b5</t>
        </is>
      </c>
      <c r="AB32" s="0" t="inlineStr">
        <is>
          <t>a1</t>
        </is>
      </c>
    </row>
    <row r="33">
      <c r="A33" s="0" t="inlineStr">
        <is>
          <t>Y29</t>
        </is>
      </c>
      <c r="C33" s="0" t="inlineStr">
        <is>
          <t>Yehodiya</t>
        </is>
      </c>
      <c r="D33" s="0" t="inlineStr">
        <is>
          <t>Yehodiya</t>
        </is>
      </c>
      <c r="E33" s="0" t="inlineStr">
        <is>
          <t>m</t>
        </is>
      </c>
      <c r="F33" s="0" t="n">
        <v>7</v>
      </c>
      <c r="G33" s="0" t="inlineStr">
        <is>
          <t>pack</t>
        </is>
      </c>
      <c r="I33" s="0" t="inlineStr">
        <is>
          <t>dark pack</t>
        </is>
      </c>
      <c r="J33" s="0" t="inlineStr">
        <is>
          <t>seen together</t>
        </is>
      </c>
      <c r="L33" s="0" t="inlineStr">
        <is>
          <t>3.10.20-22.11.20</t>
        </is>
      </c>
      <c r="M33" s="0" t="n">
        <v>2</v>
      </c>
      <c r="N33" s="0" t="n">
        <v>5</v>
      </c>
      <c r="O33" s="0" t="n">
        <v>0</v>
      </c>
      <c r="P33" s="0" t="n">
        <v>1</v>
      </c>
      <c r="Q33" s="0" t="n">
        <v>1</v>
      </c>
      <c r="R33" s="0" t="n">
        <v>7</v>
      </c>
      <c r="S33" s="0" t="inlineStr">
        <is>
          <t>c1zf_a5f_a3a_c2a_c2a_c1f_a1_a3b4_a3</t>
        </is>
      </c>
      <c r="T33" s="0" t="inlineStr">
        <is>
          <t>c1zf</t>
        </is>
      </c>
      <c r="U33" s="0" t="inlineStr">
        <is>
          <t>a5f</t>
        </is>
      </c>
      <c r="V33" s="0" t="inlineStr">
        <is>
          <t>a3a</t>
        </is>
      </c>
      <c r="W33" s="0" t="inlineStr">
        <is>
          <t>c2a</t>
        </is>
      </c>
      <c r="X33" s="0" t="inlineStr">
        <is>
          <t>c2a</t>
        </is>
      </c>
      <c r="Y33" s="0" t="inlineStr">
        <is>
          <t>c1f</t>
        </is>
      </c>
      <c r="Z33" s="0" t="inlineStr">
        <is>
          <t>a1</t>
        </is>
      </c>
      <c r="AA33" s="0" t="inlineStr">
        <is>
          <t>a3b4</t>
        </is>
      </c>
      <c r="AB33" s="0" t="inlineStr">
        <is>
          <t>a3</t>
        </is>
      </c>
    </row>
    <row r="34">
      <c r="A34" s="0" t="inlineStr">
        <is>
          <t>Y30</t>
        </is>
      </c>
      <c r="C34" s="0" t="inlineStr">
        <is>
          <t>Yehodiya</t>
        </is>
      </c>
      <c r="D34" s="0" t="inlineStr">
        <is>
          <t>Yehodiya</t>
        </is>
      </c>
      <c r="E34" s="0" t="inlineStr">
        <is>
          <t>f</t>
        </is>
      </c>
      <c r="F34" s="0" t="n">
        <v>7</v>
      </c>
      <c r="G34" s="0" t="inlineStr">
        <is>
          <t>pack</t>
        </is>
      </c>
      <c r="I34" s="0" t="inlineStr">
        <is>
          <t>dark pack</t>
        </is>
      </c>
      <c r="J34" s="0" t="inlineStr">
        <is>
          <t>seen together</t>
        </is>
      </c>
      <c r="K34" s="0" t="inlineStr">
        <is>
          <t>dark face, dark mark o front-left leg</t>
        </is>
      </c>
      <c r="L34" s="0" t="inlineStr">
        <is>
          <t>16.10.20</t>
        </is>
      </c>
      <c r="M34" s="0" t="n">
        <v>1</v>
      </c>
      <c r="N34" s="0" t="n">
        <v>0</v>
      </c>
      <c r="O34" s="0" t="n">
        <v>0</v>
      </c>
      <c r="P34" s="0" t="n">
        <v>2</v>
      </c>
      <c r="Q34" s="0" t="n">
        <v>0</v>
      </c>
      <c r="R34" s="0" t="n">
        <v>2</v>
      </c>
      <c r="S34" s="0" t="inlineStr">
        <is>
          <t>a4tze_N_b_d_a1b_a3e_c_a3_N</t>
        </is>
      </c>
      <c r="T34" s="0" t="inlineStr">
        <is>
          <t>a4tze</t>
        </is>
      </c>
      <c r="U34" s="0" t="inlineStr">
        <is>
          <t>N</t>
        </is>
      </c>
      <c r="V34" s="0" t="inlineStr">
        <is>
          <t>b</t>
        </is>
      </c>
      <c r="W34" s="0" t="inlineStr">
        <is>
          <t>d</t>
        </is>
      </c>
      <c r="X34" s="0" t="inlineStr">
        <is>
          <t>a1b</t>
        </is>
      </c>
      <c r="Y34" s="0" t="inlineStr">
        <is>
          <t>a3e</t>
        </is>
      </c>
      <c r="Z34" s="0" t="inlineStr">
        <is>
          <t>c</t>
        </is>
      </c>
      <c r="AA34" s="0" t="inlineStr">
        <is>
          <t>a3</t>
        </is>
      </c>
      <c r="AB34" s="0" t="inlineStr">
        <is>
          <t>N</t>
        </is>
      </c>
    </row>
    <row r="35">
      <c r="A35" s="0" t="inlineStr">
        <is>
          <t>Y31</t>
        </is>
      </c>
      <c r="C35" s="0" t="inlineStr">
        <is>
          <t>Yehodiya</t>
        </is>
      </c>
      <c r="D35" s="0" t="inlineStr">
        <is>
          <t>Yehodiya</t>
        </is>
      </c>
      <c r="E35" s="0" t="inlineStr">
        <is>
          <t>f</t>
        </is>
      </c>
      <c r="F35" s="0" t="n">
        <v>7</v>
      </c>
      <c r="G35" s="0" t="inlineStr">
        <is>
          <t>pack</t>
        </is>
      </c>
      <c r="I35" s="0" t="inlineStr">
        <is>
          <t>dark pack</t>
        </is>
      </c>
      <c r="J35" s="0" t="inlineStr">
        <is>
          <t>seen together</t>
        </is>
      </c>
      <c r="K35" s="0" t="inlineStr">
        <is>
          <t>dark mark o front-right leg</t>
        </is>
      </c>
      <c r="L35" s="0" t="inlineStr">
        <is>
          <t>16.10.20</t>
        </is>
      </c>
      <c r="M35" s="0" t="n">
        <v>1</v>
      </c>
      <c r="N35" s="0" t="n">
        <v>0</v>
      </c>
      <c r="O35" s="0" t="n">
        <v>0</v>
      </c>
      <c r="P35" s="0" t="n">
        <v>3</v>
      </c>
      <c r="Q35" s="0" t="n">
        <v>0</v>
      </c>
      <c r="R35" s="0" t="n">
        <v>3</v>
      </c>
      <c r="S35" s="0" t="inlineStr">
        <is>
          <t>f_N_b_Rb1aLc2a_Ra1aLc2a_f_P_a3_N</t>
        </is>
      </c>
      <c r="T35" s="0" t="inlineStr">
        <is>
          <t>f</t>
        </is>
      </c>
      <c r="U35" s="0" t="inlineStr">
        <is>
          <t>N</t>
        </is>
      </c>
      <c r="V35" s="0" t="inlineStr">
        <is>
          <t>b</t>
        </is>
      </c>
      <c r="W35" s="0" t="inlineStr">
        <is>
          <t>Rb1aLc2a</t>
        </is>
      </c>
      <c r="X35" s="0" t="inlineStr">
        <is>
          <t>Ra1aLc2a</t>
        </is>
      </c>
      <c r="Y35" s="0" t="inlineStr">
        <is>
          <t>f</t>
        </is>
      </c>
      <c r="Z35" s="0" t="inlineStr">
        <is>
          <t>P</t>
        </is>
      </c>
      <c r="AA35" s="0" t="inlineStr">
        <is>
          <t>a3</t>
        </is>
      </c>
      <c r="AB35" s="0" t="inlineStr">
        <is>
          <t>N</t>
        </is>
      </c>
    </row>
    <row r="36">
      <c r="A36" s="0" t="inlineStr">
        <is>
          <t>Y107</t>
        </is>
      </c>
      <c r="C36" s="0" t="inlineStr">
        <is>
          <t>Yehodiya</t>
        </is>
      </c>
      <c r="D36" s="0" t="inlineStr">
        <is>
          <t>Yehodiya</t>
        </is>
      </c>
      <c r="E36" s="0" t="inlineStr">
        <is>
          <t>f</t>
        </is>
      </c>
      <c r="F36" s="0" t="n">
        <v>7</v>
      </c>
      <c r="G36" s="0" t="inlineStr">
        <is>
          <t>pack</t>
        </is>
      </c>
      <c r="I36" s="0" t="inlineStr">
        <is>
          <t>dark pack</t>
        </is>
      </c>
      <c r="J36" s="0" t="inlineStr">
        <is>
          <t>seen together</t>
        </is>
      </c>
      <c r="L36" s="0" t="inlineStr">
        <is>
          <t>23.11.20</t>
        </is>
      </c>
      <c r="M36" s="0" t="n">
        <v>1</v>
      </c>
      <c r="N36" s="0" t="n">
        <v>0</v>
      </c>
      <c r="O36" s="0" t="n">
        <v>2</v>
      </c>
      <c r="P36" s="0" t="n">
        <v>0</v>
      </c>
      <c r="Q36" s="0" t="n">
        <v>0</v>
      </c>
      <c r="R36" s="0" t="n">
        <v>2</v>
      </c>
      <c r="S36" s="0" t="inlineStr">
        <is>
          <t>a1uxf_a4f_a3a_b2a_a1b_a5g_b2_a4b5_a2</t>
        </is>
      </c>
      <c r="T36" s="0" t="inlineStr">
        <is>
          <t>a1uxf</t>
        </is>
      </c>
      <c r="U36" s="0" t="inlineStr">
        <is>
          <t>a4f</t>
        </is>
      </c>
      <c r="V36" s="0" t="inlineStr">
        <is>
          <t>a3a</t>
        </is>
      </c>
      <c r="W36" s="0" t="inlineStr">
        <is>
          <t>b2a</t>
        </is>
      </c>
      <c r="X36" s="0" t="inlineStr">
        <is>
          <t>a1b</t>
        </is>
      </c>
      <c r="Y36" s="0" t="inlineStr">
        <is>
          <t>a5g</t>
        </is>
      </c>
      <c r="Z36" s="0" t="inlineStr">
        <is>
          <t>b2</t>
        </is>
      </c>
      <c r="AA36" s="0" t="inlineStr">
        <is>
          <t>a4b5</t>
        </is>
      </c>
      <c r="AB36" s="0" t="inlineStr">
        <is>
          <t>a2</t>
        </is>
      </c>
    </row>
    <row r="37">
      <c r="A37" s="0" t="inlineStr">
        <is>
          <t>Y32</t>
        </is>
      </c>
      <c r="C37" s="0" t="inlineStr">
        <is>
          <t>Yehodiya</t>
        </is>
      </c>
      <c r="D37" s="0" t="inlineStr">
        <is>
          <t>Yehodiya</t>
        </is>
      </c>
      <c r="E37" s="0" t="inlineStr">
        <is>
          <t>f</t>
        </is>
      </c>
      <c r="F37" s="0" t="n">
        <v>7</v>
      </c>
      <c r="G37" s="0" t="inlineStr">
        <is>
          <t>pack</t>
        </is>
      </c>
      <c r="I37" s="0" t="inlineStr">
        <is>
          <t>dark pack</t>
        </is>
      </c>
      <c r="J37" s="0" t="inlineStr">
        <is>
          <t>unknown</t>
        </is>
      </c>
      <c r="K37" s="0" t="inlineStr">
        <is>
          <t>dark face</t>
        </is>
      </c>
      <c r="L37" s="0" t="inlineStr">
        <is>
          <t>22.11.20</t>
        </is>
      </c>
      <c r="M37" s="0" t="n">
        <v>1</v>
      </c>
      <c r="N37" s="0" t="n">
        <v>1</v>
      </c>
      <c r="O37" s="0" t="n">
        <v>4</v>
      </c>
      <c r="P37" s="0" t="n">
        <v>2</v>
      </c>
      <c r="Q37" s="0" t="n">
        <v>0</v>
      </c>
      <c r="R37" s="0" t="n">
        <v>7</v>
      </c>
      <c r="S37" s="0" t="inlineStr">
        <is>
          <t>b2e_Ra1eLa10e_a4b_c2b_c2b_c1g_b1_a3b1_a2</t>
        </is>
      </c>
      <c r="T37" s="0" t="inlineStr">
        <is>
          <t>b2e</t>
        </is>
      </c>
      <c r="U37" s="0" t="inlineStr">
        <is>
          <t>Ra1eLa10e</t>
        </is>
      </c>
      <c r="V37" s="0" t="inlineStr">
        <is>
          <t>a4b</t>
        </is>
      </c>
      <c r="W37" s="0" t="inlineStr">
        <is>
          <t>c2b</t>
        </is>
      </c>
      <c r="X37" s="0" t="inlineStr">
        <is>
          <t>c2b</t>
        </is>
      </c>
      <c r="Y37" s="0" t="inlineStr">
        <is>
          <t>c1g</t>
        </is>
      </c>
      <c r="Z37" s="0" t="inlineStr">
        <is>
          <t>b1</t>
        </is>
      </c>
      <c r="AA37" s="0" t="inlineStr">
        <is>
          <t>a3b1</t>
        </is>
      </c>
      <c r="AB37" s="0" t="inlineStr">
        <is>
          <t>a2</t>
        </is>
      </c>
    </row>
    <row r="38">
      <c r="A38" s="0" t="inlineStr">
        <is>
          <t>Y102</t>
        </is>
      </c>
      <c r="C38" s="0" t="inlineStr">
        <is>
          <t>Yehodiya</t>
        </is>
      </c>
      <c r="D38" s="0" t="inlineStr">
        <is>
          <t>Yehodiya</t>
        </is>
      </c>
      <c r="F38" s="0" t="n">
        <v>7</v>
      </c>
      <c r="G38" s="0" t="inlineStr">
        <is>
          <t>pack*</t>
        </is>
      </c>
      <c r="I38" s="0" t="inlineStr">
        <is>
          <t>dark pack*</t>
        </is>
      </c>
      <c r="J38" s="0" t="inlineStr">
        <is>
          <t>unknown</t>
        </is>
      </c>
      <c r="K38" s="0" t="inlineStr">
        <is>
          <t>dark face</t>
        </is>
      </c>
      <c r="L38" s="0" t="inlineStr">
        <is>
          <t>28.11.20</t>
        </is>
      </c>
      <c r="M38" s="0" t="n">
        <v>1</v>
      </c>
      <c r="N38" s="0" t="n">
        <v>0</v>
      </c>
      <c r="O38" s="0" t="n">
        <v>0</v>
      </c>
      <c r="P38" s="0" t="n">
        <v>2</v>
      </c>
      <c r="Q38" s="0" t="n">
        <v>0</v>
      </c>
      <c r="R38" s="0" t="n">
        <v>2</v>
      </c>
      <c r="S38" s="0" t="inlineStr">
        <is>
          <t>b2e_a3e_a2a_b2b_a2b_c1f_b1_a3_a2</t>
        </is>
      </c>
      <c r="T38" s="0" t="inlineStr">
        <is>
          <t>b2e</t>
        </is>
      </c>
      <c r="U38" s="0" t="inlineStr">
        <is>
          <t>a3e</t>
        </is>
      </c>
      <c r="V38" s="0" t="inlineStr">
        <is>
          <t>a2a</t>
        </is>
      </c>
      <c r="W38" s="0" t="inlineStr">
        <is>
          <t>b2b</t>
        </is>
      </c>
      <c r="X38" s="0" t="inlineStr">
        <is>
          <t>a2b</t>
        </is>
      </c>
      <c r="Y38" s="0" t="inlineStr">
        <is>
          <t>c1f</t>
        </is>
      </c>
      <c r="Z38" s="0" t="inlineStr">
        <is>
          <t>b1</t>
        </is>
      </c>
      <c r="AA38" s="0" t="inlineStr">
        <is>
          <t>a3</t>
        </is>
      </c>
      <c r="AB38" s="0" t="inlineStr">
        <is>
          <t>a2</t>
        </is>
      </c>
    </row>
    <row r="39">
      <c r="A39" s="0" t="inlineStr">
        <is>
          <t>Y33</t>
        </is>
      </c>
      <c r="C39" s="0" t="inlineStr">
        <is>
          <t>Yehodiya</t>
        </is>
      </c>
      <c r="D39" s="0" t="inlineStr">
        <is>
          <t>Yehodiya</t>
        </is>
      </c>
      <c r="F39" s="0" t="n">
        <v>7</v>
      </c>
      <c r="G39" s="0" t="inlineStr">
        <is>
          <t>pack</t>
        </is>
      </c>
      <c r="I39" s="0" t="inlineStr">
        <is>
          <t>dark pack</t>
        </is>
      </c>
      <c r="J39" s="0" t="inlineStr">
        <is>
          <t>seen together</t>
        </is>
      </c>
      <c r="K39" s="0" t="inlineStr">
        <is>
          <t>dark face</t>
        </is>
      </c>
      <c r="L39" s="0" t="inlineStr">
        <is>
          <t>16.10.20</t>
        </is>
      </c>
      <c r="M39" s="0" t="n">
        <v>1</v>
      </c>
      <c r="N39" s="0" t="n">
        <v>0</v>
      </c>
      <c r="O39" s="0" t="n">
        <v>3</v>
      </c>
      <c r="P39" s="0" t="n">
        <v>2</v>
      </c>
      <c r="Q39" s="0" t="n">
        <v>0</v>
      </c>
      <c r="R39" s="0" t="n">
        <v>5</v>
      </c>
      <c r="S39" s="0" t="inlineStr">
        <is>
          <t>a1tze_a4e_b_b1b_a1b_c1e_a3_a3_a2</t>
        </is>
      </c>
      <c r="T39" s="0" t="inlineStr">
        <is>
          <t>a1tze</t>
        </is>
      </c>
      <c r="U39" s="0" t="inlineStr">
        <is>
          <t>a4e</t>
        </is>
      </c>
      <c r="V39" s="0" t="inlineStr">
        <is>
          <t>b</t>
        </is>
      </c>
      <c r="W39" s="0" t="inlineStr">
        <is>
          <t>b1b</t>
        </is>
      </c>
      <c r="X39" s="0" t="inlineStr">
        <is>
          <t>a1b</t>
        </is>
      </c>
      <c r="Y39" s="0" t="inlineStr">
        <is>
          <t>c1e</t>
        </is>
      </c>
      <c r="Z39" s="0" t="inlineStr">
        <is>
          <t>a3</t>
        </is>
      </c>
      <c r="AA39" s="0" t="inlineStr">
        <is>
          <t>a3</t>
        </is>
      </c>
      <c r="AB39" s="0" t="inlineStr">
        <is>
          <t>a2</t>
        </is>
      </c>
    </row>
    <row r="40">
      <c r="A40" s="0" t="inlineStr">
        <is>
          <t>Y34</t>
        </is>
      </c>
      <c r="C40" s="0" t="inlineStr">
        <is>
          <t>Yehodiya</t>
        </is>
      </c>
      <c r="D40" s="0" t="inlineStr">
        <is>
          <t>Yehodiya</t>
        </is>
      </c>
      <c r="E40" s="0" t="inlineStr">
        <is>
          <t>f</t>
        </is>
      </c>
      <c r="F40" s="0" t="n">
        <v>7</v>
      </c>
      <c r="G40" s="0" t="inlineStr">
        <is>
          <t>pack</t>
        </is>
      </c>
      <c r="I40" s="0" t="inlineStr">
        <is>
          <t>dark pack</t>
        </is>
      </c>
      <c r="J40" s="0" t="inlineStr">
        <is>
          <t>seen together</t>
        </is>
      </c>
      <c r="K40" s="0" t="inlineStr">
        <is>
          <t>dark face</t>
        </is>
      </c>
      <c r="L40" s="0" t="inlineStr">
        <is>
          <t>16.10.20</t>
        </is>
      </c>
      <c r="M40" s="0" t="n">
        <v>1</v>
      </c>
      <c r="N40" s="0" t="n">
        <v>0</v>
      </c>
      <c r="O40" s="0" t="n">
        <v>3</v>
      </c>
      <c r="P40" s="0" t="n">
        <v>1</v>
      </c>
      <c r="Q40" s="0" t="n">
        <v>0</v>
      </c>
      <c r="R40" s="0" t="n">
        <v>4</v>
      </c>
      <c r="S40" s="0" t="inlineStr">
        <is>
          <t>a5uze_a2e_b_N_a1b_a1e_c_a4_a2</t>
        </is>
      </c>
      <c r="T40" s="0" t="inlineStr">
        <is>
          <t>a5uze</t>
        </is>
      </c>
      <c r="U40" s="0" t="inlineStr">
        <is>
          <t>a2e</t>
        </is>
      </c>
      <c r="V40" s="0" t="inlineStr">
        <is>
          <t>b</t>
        </is>
      </c>
      <c r="W40" s="0" t="inlineStr">
        <is>
          <t>N</t>
        </is>
      </c>
      <c r="X40" s="0" t="inlineStr">
        <is>
          <t>a1b</t>
        </is>
      </c>
      <c r="Y40" s="0" t="inlineStr">
        <is>
          <t>a1e</t>
        </is>
      </c>
      <c r="Z40" s="0" t="inlineStr">
        <is>
          <t>c</t>
        </is>
      </c>
      <c r="AA40" s="0" t="inlineStr">
        <is>
          <t>a4</t>
        </is>
      </c>
      <c r="AB40" s="0" t="inlineStr">
        <is>
          <t>a2</t>
        </is>
      </c>
    </row>
    <row r="41">
      <c r="A41" s="0" t="inlineStr">
        <is>
          <t>Y35</t>
        </is>
      </c>
      <c r="C41" s="0" t="inlineStr">
        <is>
          <t>Yehodiya</t>
        </is>
      </c>
      <c r="D41" s="0" t="inlineStr">
        <is>
          <t>Yehodiya</t>
        </is>
      </c>
      <c r="E41" s="0" t="inlineStr">
        <is>
          <t>m</t>
        </is>
      </c>
      <c r="F41" s="0" t="n">
        <v>7</v>
      </c>
      <c r="G41" s="0" t="inlineStr">
        <is>
          <t>pack</t>
        </is>
      </c>
      <c r="I41" s="0" t="inlineStr">
        <is>
          <t>dark pack</t>
        </is>
      </c>
      <c r="J41" s="0" t="inlineStr">
        <is>
          <t>seen together</t>
        </is>
      </c>
      <c r="K41" s="0" t="inlineStr">
        <is>
          <t>dark face</t>
        </is>
      </c>
      <c r="L41" s="0" t="inlineStr">
        <is>
          <t>16.10.20</t>
        </is>
      </c>
      <c r="M41" s="0" t="n">
        <v>1</v>
      </c>
      <c r="N41" s="0" t="n">
        <v>0</v>
      </c>
      <c r="O41" s="0" t="n">
        <v>3</v>
      </c>
      <c r="P41" s="0" t="n">
        <v>0</v>
      </c>
      <c r="Q41" s="0" t="n">
        <v>0</v>
      </c>
      <c r="R41" s="0" t="n">
        <v>3</v>
      </c>
      <c r="S41" s="0" t="inlineStr">
        <is>
          <t>a5txe_a4e_b_N_a1b_a2e_c_a3_N</t>
        </is>
      </c>
      <c r="T41" s="0" t="inlineStr">
        <is>
          <t>a5txe</t>
        </is>
      </c>
      <c r="U41" s="0" t="inlineStr">
        <is>
          <t>a4e</t>
        </is>
      </c>
      <c r="V41" s="0" t="inlineStr">
        <is>
          <t>b</t>
        </is>
      </c>
      <c r="W41" s="0" t="inlineStr">
        <is>
          <t>N</t>
        </is>
      </c>
      <c r="X41" s="0" t="inlineStr">
        <is>
          <t>a1b</t>
        </is>
      </c>
      <c r="Y41" s="0" t="inlineStr">
        <is>
          <t>a2e</t>
        </is>
      </c>
      <c r="Z41" s="0" t="inlineStr">
        <is>
          <t>c</t>
        </is>
      </c>
      <c r="AA41" s="0" t="inlineStr">
        <is>
          <t>a3</t>
        </is>
      </c>
      <c r="AB41" s="0" t="inlineStr">
        <is>
          <t>N</t>
        </is>
      </c>
    </row>
    <row r="42">
      <c r="A42" s="0" t="inlineStr">
        <is>
          <t>Y36</t>
        </is>
      </c>
      <c r="C42" s="0" t="inlineStr">
        <is>
          <t>Yehodiya</t>
        </is>
      </c>
      <c r="D42" s="0" t="inlineStr">
        <is>
          <t>Yehodiya</t>
        </is>
      </c>
      <c r="F42" s="0" t="n">
        <v>7</v>
      </c>
      <c r="G42" s="0" t="inlineStr">
        <is>
          <t>group</t>
        </is>
      </c>
      <c r="I42" s="0" t="inlineStr">
        <is>
          <t>yehodiya trio</t>
        </is>
      </c>
      <c r="J42" s="0" t="inlineStr">
        <is>
          <t>Y47, Y48</t>
        </is>
      </c>
      <c r="K42" s="0" t="inlineStr">
        <is>
          <t>golden fur, dark eyes, pink nose</t>
        </is>
      </c>
      <c r="L42" s="0" t="inlineStr">
        <is>
          <t>02.11.20-07.12.20</t>
        </is>
      </c>
      <c r="M42" s="0" t="n">
        <v>2</v>
      </c>
      <c r="N42" s="0" t="n">
        <v>0</v>
      </c>
      <c r="O42" s="0" t="n">
        <v>5</v>
      </c>
      <c r="P42" s="0" t="n">
        <v>2</v>
      </c>
      <c r="Q42" s="0" t="n">
        <v>0</v>
      </c>
      <c r="R42" s="0" t="n">
        <v>7</v>
      </c>
      <c r="S42" s="0" t="inlineStr">
        <is>
          <t>d2i_a1k_P_b1a_a1a_c2j_b1_a5b5_a4</t>
        </is>
      </c>
      <c r="T42" s="0" t="inlineStr">
        <is>
          <t>d2i</t>
        </is>
      </c>
      <c r="U42" s="0" t="inlineStr">
        <is>
          <t>a1k</t>
        </is>
      </c>
      <c r="V42" s="0" t="inlineStr">
        <is>
          <t>P</t>
        </is>
      </c>
      <c r="W42" s="0" t="inlineStr">
        <is>
          <t>b1a</t>
        </is>
      </c>
      <c r="X42" s="0" t="inlineStr">
        <is>
          <t>a1a</t>
        </is>
      </c>
      <c r="Y42" s="0" t="inlineStr">
        <is>
          <t>c2j</t>
        </is>
      </c>
      <c r="Z42" s="0" t="inlineStr">
        <is>
          <t>b1</t>
        </is>
      </c>
      <c r="AA42" s="0" t="inlineStr">
        <is>
          <t>a5b5</t>
        </is>
      </c>
      <c r="AB42" s="0" t="inlineStr">
        <is>
          <t>a4</t>
        </is>
      </c>
    </row>
    <row r="43">
      <c r="A43" s="0" t="inlineStr">
        <is>
          <t>Y39</t>
        </is>
      </c>
      <c r="C43" s="0" t="inlineStr">
        <is>
          <t>Yehodiya</t>
        </is>
      </c>
      <c r="D43" s="0" t="inlineStr">
        <is>
          <t>Yehodiya</t>
        </is>
      </c>
      <c r="F43" s="0" t="inlineStr">
        <is>
          <t>9, 10</t>
        </is>
      </c>
      <c r="G43" s="0" t="inlineStr">
        <is>
          <t>pack</t>
        </is>
      </c>
      <c r="I43" s="0" t="inlineStr">
        <is>
          <t>golden pack</t>
        </is>
      </c>
      <c r="J43" s="0" t="inlineStr">
        <is>
          <t>seen together</t>
        </is>
      </c>
      <c r="K43" s="0" t="inlineStr">
        <is>
          <t xml:space="preserve">golden fur, dark tail </t>
        </is>
      </c>
      <c r="L43" s="0" t="inlineStr">
        <is>
          <t>30.9.20</t>
        </is>
      </c>
      <c r="M43" s="0" t="n">
        <v>1</v>
      </c>
      <c r="N43" s="0" t="n">
        <v>0</v>
      </c>
      <c r="O43" s="0" t="n">
        <v>0</v>
      </c>
      <c r="P43" s="0" t="n">
        <v>2</v>
      </c>
      <c r="Q43" s="0" t="n">
        <v>0</v>
      </c>
      <c r="R43" s="0" t="n">
        <v>2</v>
      </c>
      <c r="S43" s="0" t="inlineStr">
        <is>
          <t>b3j_a9j_b_Rb1aLd_Ra2bLd_N_N_a6_N</t>
        </is>
      </c>
      <c r="T43" s="0" t="inlineStr">
        <is>
          <t>b3j</t>
        </is>
      </c>
      <c r="U43" s="0" t="inlineStr">
        <is>
          <t>a9j</t>
        </is>
      </c>
      <c r="V43" s="0" t="inlineStr">
        <is>
          <t>b</t>
        </is>
      </c>
      <c r="W43" s="0" t="inlineStr">
        <is>
          <t>Rb1aLd</t>
        </is>
      </c>
      <c r="X43" s="0" t="inlineStr">
        <is>
          <t>Ra2bLd</t>
        </is>
      </c>
      <c r="Y43" s="0" t="inlineStr">
        <is>
          <t>N</t>
        </is>
      </c>
      <c r="Z43" s="0" t="inlineStr">
        <is>
          <t>N</t>
        </is>
      </c>
      <c r="AA43" s="0" t="inlineStr">
        <is>
          <t>a6</t>
        </is>
      </c>
      <c r="AB43" s="0" t="inlineStr">
        <is>
          <t>N</t>
        </is>
      </c>
    </row>
    <row r="44">
      <c r="A44" s="0" t="inlineStr">
        <is>
          <t>Y40</t>
        </is>
      </c>
      <c r="C44" s="0" t="inlineStr">
        <is>
          <t>Yehodiya</t>
        </is>
      </c>
      <c r="D44" s="0" t="inlineStr">
        <is>
          <t>Yehodiya</t>
        </is>
      </c>
      <c r="E44" s="0" t="inlineStr">
        <is>
          <t>m</t>
        </is>
      </c>
      <c r="F44" s="0" t="n">
        <v>9</v>
      </c>
      <c r="G44" s="0" t="inlineStr">
        <is>
          <t>pack</t>
        </is>
      </c>
      <c r="I44" s="0" t="inlineStr">
        <is>
          <t>golden pack</t>
        </is>
      </c>
      <c r="J44" s="0" t="inlineStr">
        <is>
          <t>seen together</t>
        </is>
      </c>
      <c r="K44" s="0" t="inlineStr">
        <is>
          <t>golden fur, dark tail, seen wounded</t>
        </is>
      </c>
      <c r="L44" s="0" t="inlineStr">
        <is>
          <t>30.9.20-13.11.20</t>
        </is>
      </c>
      <c r="M44" s="0" t="inlineStr">
        <is>
          <t>2*</t>
        </is>
      </c>
      <c r="N44" s="0" t="n">
        <v>2</v>
      </c>
      <c r="O44" s="0" t="n">
        <v>1</v>
      </c>
      <c r="P44" s="0" t="n">
        <v>1</v>
      </c>
      <c r="Q44" s="0" t="n">
        <v>1</v>
      </c>
      <c r="R44" s="0" t="n">
        <v>5</v>
      </c>
      <c r="S44" s="0" t="inlineStr">
        <is>
          <t>b3j_a7j_N_N_N_b1k_c_a6b5_a4</t>
        </is>
      </c>
      <c r="T44" s="0" t="inlineStr">
        <is>
          <t>b3j</t>
        </is>
      </c>
      <c r="U44" s="0" t="inlineStr">
        <is>
          <t>a7j</t>
        </is>
      </c>
      <c r="V44" s="0" t="inlineStr">
        <is>
          <t>N</t>
        </is>
      </c>
      <c r="W44" s="0" t="inlineStr">
        <is>
          <t>N</t>
        </is>
      </c>
      <c r="X44" s="0" t="inlineStr">
        <is>
          <t>N</t>
        </is>
      </c>
      <c r="Y44" s="0" t="inlineStr">
        <is>
          <t>b1k</t>
        </is>
      </c>
      <c r="Z44" s="0" t="inlineStr">
        <is>
          <t>c</t>
        </is>
      </c>
      <c r="AA44" s="0" t="inlineStr">
        <is>
          <t>a6b5</t>
        </is>
      </c>
      <c r="AB44" s="0" t="inlineStr">
        <is>
          <t>a4</t>
        </is>
      </c>
    </row>
    <row r="45">
      <c r="A45" s="0" t="inlineStr">
        <is>
          <t>Y41</t>
        </is>
      </c>
      <c r="C45" s="0" t="inlineStr">
        <is>
          <t>Yehodiya</t>
        </is>
      </c>
      <c r="D45" s="0" t="inlineStr">
        <is>
          <t>Yehodiya</t>
        </is>
      </c>
      <c r="F45" s="0" t="n">
        <v>9</v>
      </c>
      <c r="G45" s="0" t="inlineStr">
        <is>
          <t>pack</t>
        </is>
      </c>
      <c r="I45" s="0" t="inlineStr">
        <is>
          <t>golden pack</t>
        </is>
      </c>
      <c r="J45" s="0" t="inlineStr">
        <is>
          <t>seen together</t>
        </is>
      </c>
      <c r="K45" s="0" t="inlineStr">
        <is>
          <t>golden fur, dark tail, grey face</t>
        </is>
      </c>
      <c r="L45" s="0" t="inlineStr">
        <is>
          <t>30.9.20-12.10.20</t>
        </is>
      </c>
      <c r="M45" s="0" t="n">
        <v>2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2</v>
      </c>
      <c r="S45" s="0" t="inlineStr">
        <is>
          <t>a2tyi_a1i_a2a_b2a_a1a_c1i_b1_a7b5_a4</t>
        </is>
      </c>
      <c r="T45" s="0" t="inlineStr">
        <is>
          <t>a2tyi</t>
        </is>
      </c>
      <c r="U45" s="0" t="inlineStr">
        <is>
          <t>a1i</t>
        </is>
      </c>
      <c r="V45" s="0" t="inlineStr">
        <is>
          <t>a2a</t>
        </is>
      </c>
      <c r="W45" s="0" t="inlineStr">
        <is>
          <t>b2a</t>
        </is>
      </c>
      <c r="X45" s="0" t="inlineStr">
        <is>
          <t>a1a</t>
        </is>
      </c>
      <c r="Y45" s="0" t="inlineStr">
        <is>
          <t>c1i</t>
        </is>
      </c>
      <c r="Z45" s="0" t="inlineStr">
        <is>
          <t>b1</t>
        </is>
      </c>
      <c r="AA45" s="0" t="inlineStr">
        <is>
          <t>a7b5</t>
        </is>
      </c>
      <c r="AB45" s="0" t="inlineStr">
        <is>
          <t>a4</t>
        </is>
      </c>
    </row>
    <row r="46">
      <c r="A46" s="0" t="inlineStr">
        <is>
          <t>Y42</t>
        </is>
      </c>
      <c r="C46" s="0" t="inlineStr">
        <is>
          <t>Yehodiya</t>
        </is>
      </c>
      <c r="D46" s="0" t="inlineStr">
        <is>
          <t>Yehodiya</t>
        </is>
      </c>
      <c r="E46" s="0" t="inlineStr">
        <is>
          <t>f</t>
        </is>
      </c>
      <c r="F46" s="0" t="inlineStr">
        <is>
          <t>9, 8</t>
        </is>
      </c>
      <c r="G46" s="0" t="inlineStr">
        <is>
          <t>pack</t>
        </is>
      </c>
      <c r="I46" s="0" t="inlineStr">
        <is>
          <t>golden pack</t>
        </is>
      </c>
      <c r="J46" s="0" t="inlineStr">
        <is>
          <t>seen together</t>
        </is>
      </c>
      <c r="K46" s="0" t="inlineStr">
        <is>
          <t>grey-yellow fur, dark tail, grey face</t>
        </is>
      </c>
      <c r="L46" s="0" t="inlineStr">
        <is>
          <t>30.9.20-27.10</t>
        </is>
      </c>
      <c r="M46" s="0" t="n">
        <v>2</v>
      </c>
      <c r="N46" s="0" t="n">
        <v>0</v>
      </c>
      <c r="O46" s="0" t="n">
        <v>4</v>
      </c>
      <c r="P46" s="0" t="n">
        <v>0</v>
      </c>
      <c r="Q46" s="0" t="n">
        <v>0</v>
      </c>
      <c r="R46" s="0" t="n">
        <v>4</v>
      </c>
      <c r="S46" s="0" t="inlineStr">
        <is>
          <t>a4tyi_a8i_N_b2b_a1b_a3g_c_a4b5_a4</t>
        </is>
      </c>
      <c r="T46" s="0" t="inlineStr">
        <is>
          <t>a4tyi</t>
        </is>
      </c>
      <c r="U46" s="0" t="inlineStr">
        <is>
          <t>a8i</t>
        </is>
      </c>
      <c r="V46" s="0" t="inlineStr">
        <is>
          <t>N</t>
        </is>
      </c>
      <c r="W46" s="0" t="inlineStr">
        <is>
          <t>b2b</t>
        </is>
      </c>
      <c r="X46" s="0" t="inlineStr">
        <is>
          <t>a1b</t>
        </is>
      </c>
      <c r="Y46" s="0" t="inlineStr">
        <is>
          <t>a3g</t>
        </is>
      </c>
      <c r="Z46" s="0" t="inlineStr">
        <is>
          <t>c</t>
        </is>
      </c>
      <c r="AA46" s="0" t="inlineStr">
        <is>
          <t>a4b5</t>
        </is>
      </c>
      <c r="AB46" s="0" t="inlineStr">
        <is>
          <t>a4</t>
        </is>
      </c>
    </row>
    <row r="47">
      <c r="A47" s="0" t="inlineStr">
        <is>
          <t>Y43</t>
        </is>
      </c>
      <c r="C47" s="0" t="inlineStr">
        <is>
          <t>Yehodiya</t>
        </is>
      </c>
      <c r="D47" s="0" t="inlineStr">
        <is>
          <t>Yehodiya</t>
        </is>
      </c>
      <c r="E47" s="0" t="inlineStr">
        <is>
          <t>m</t>
        </is>
      </c>
      <c r="F47" s="0" t="inlineStr">
        <is>
          <t>9, 8</t>
        </is>
      </c>
      <c r="G47" s="0" t="inlineStr">
        <is>
          <t>pack</t>
        </is>
      </c>
      <c r="I47" s="0" t="inlineStr">
        <is>
          <t>golden pack</t>
        </is>
      </c>
      <c r="J47" s="0" t="inlineStr">
        <is>
          <t>seen together</t>
        </is>
      </c>
      <c r="K47" s="0" t="inlineStr">
        <is>
          <t xml:space="preserve">golden fur, dark tail </t>
        </is>
      </c>
      <c r="L47" s="0" t="inlineStr">
        <is>
          <t>30.9.20</t>
        </is>
      </c>
      <c r="M47" s="0" t="n">
        <v>1</v>
      </c>
      <c r="N47" s="0" t="n">
        <v>0</v>
      </c>
      <c r="O47" s="0" t="n">
        <v>0</v>
      </c>
      <c r="P47" s="0" t="n">
        <v>3</v>
      </c>
      <c r="Q47" s="0" t="n">
        <v>0</v>
      </c>
      <c r="R47" s="0" t="n">
        <v>3</v>
      </c>
      <c r="S47" s="0" t="inlineStr">
        <is>
          <t>a1txj_a4j_b_d_a1a_c3g_b2_a4_a2</t>
        </is>
      </c>
      <c r="T47" s="0" t="inlineStr">
        <is>
          <t>a1txj</t>
        </is>
      </c>
      <c r="U47" s="0" t="inlineStr">
        <is>
          <t>a4j</t>
        </is>
      </c>
      <c r="V47" s="0" t="inlineStr">
        <is>
          <t>b</t>
        </is>
      </c>
      <c r="W47" s="0" t="inlineStr">
        <is>
          <t>d</t>
        </is>
      </c>
      <c r="X47" s="0" t="inlineStr">
        <is>
          <t>a1a</t>
        </is>
      </c>
      <c r="Y47" s="0" t="inlineStr">
        <is>
          <t>c3g</t>
        </is>
      </c>
      <c r="Z47" s="0" t="inlineStr">
        <is>
          <t>b2</t>
        </is>
      </c>
      <c r="AA47" s="0" t="inlineStr">
        <is>
          <t>a4</t>
        </is>
      </c>
      <c r="AB47" s="0" t="inlineStr">
        <is>
          <t>a2</t>
        </is>
      </c>
    </row>
    <row r="48">
      <c r="A48" s="0" t="inlineStr">
        <is>
          <t>Y44</t>
        </is>
      </c>
      <c r="C48" s="0" t="inlineStr">
        <is>
          <t>Yehodiya</t>
        </is>
      </c>
      <c r="D48" s="0" t="inlineStr">
        <is>
          <t>Yehodiya</t>
        </is>
      </c>
      <c r="F48" s="0" t="n">
        <v>9</v>
      </c>
      <c r="G48" s="0" t="inlineStr">
        <is>
          <t>pack</t>
        </is>
      </c>
      <c r="I48" s="0" t="inlineStr">
        <is>
          <t>golden pack</t>
        </is>
      </c>
      <c r="J48" s="0" t="inlineStr">
        <is>
          <t>seen together</t>
        </is>
      </c>
      <c r="K48" s="0" t="inlineStr">
        <is>
          <t xml:space="preserve">golden fur, dark tail, dark-grey face, ‘wave’ pattern on the face </t>
        </is>
      </c>
      <c r="L48" s="0" t="inlineStr">
        <is>
          <t>30.9.20</t>
        </is>
      </c>
      <c r="M48" s="0" t="n">
        <v>1</v>
      </c>
      <c r="N48" s="0" t="n">
        <v>0</v>
      </c>
      <c r="O48" s="0" t="n">
        <v>2</v>
      </c>
      <c r="P48" s="0" t="n">
        <v>0</v>
      </c>
      <c r="Q48" s="0" t="n">
        <v>1</v>
      </c>
      <c r="R48" s="0" t="n">
        <v>3</v>
      </c>
      <c r="S48" s="0" t="inlineStr">
        <is>
          <t>a5uyf_a1i_b_b2b_a1b_a4g_c_a4b5_a2</t>
        </is>
      </c>
      <c r="T48" s="0" t="inlineStr">
        <is>
          <t>a5uyf</t>
        </is>
      </c>
      <c r="U48" s="0" t="inlineStr">
        <is>
          <t>a1i</t>
        </is>
      </c>
      <c r="V48" s="0" t="inlineStr">
        <is>
          <t>b</t>
        </is>
      </c>
      <c r="W48" s="0" t="inlineStr">
        <is>
          <t>b2b</t>
        </is>
      </c>
      <c r="X48" s="0" t="inlineStr">
        <is>
          <t>a1b</t>
        </is>
      </c>
      <c r="Y48" s="0" t="inlineStr">
        <is>
          <t>a4g</t>
        </is>
      </c>
      <c r="Z48" s="0" t="inlineStr">
        <is>
          <t>c</t>
        </is>
      </c>
      <c r="AA48" s="0" t="inlineStr">
        <is>
          <t>a4b5</t>
        </is>
      </c>
      <c r="AB48" s="0" t="inlineStr">
        <is>
          <t>a2</t>
        </is>
      </c>
    </row>
    <row r="49">
      <c r="A49" s="0" t="inlineStr">
        <is>
          <t>Y45</t>
        </is>
      </c>
      <c r="C49" s="0" t="inlineStr">
        <is>
          <t>Yehodiya</t>
        </is>
      </c>
      <c r="D49" s="0" t="inlineStr">
        <is>
          <t>Yehodiya</t>
        </is>
      </c>
      <c r="F49" s="0" t="inlineStr">
        <is>
          <t>9, 8</t>
        </is>
      </c>
      <c r="G49" s="0" t="inlineStr">
        <is>
          <t>pack</t>
        </is>
      </c>
      <c r="I49" s="0" t="inlineStr">
        <is>
          <t>golden pack</t>
        </is>
      </c>
      <c r="J49" s="0" t="inlineStr">
        <is>
          <t>seen together</t>
        </is>
      </c>
      <c r="K49" s="0" t="inlineStr">
        <is>
          <t>golden fur</t>
        </is>
      </c>
      <c r="L49" s="0" t="inlineStr">
        <is>
          <t>30.9.20</t>
        </is>
      </c>
      <c r="M49" s="0" t="n">
        <v>1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2</v>
      </c>
      <c r="S49" s="0" t="inlineStr">
        <is>
          <t>c1xj_a5j_a1a_b1a_a1a_a3g_c_a4b5_a4</t>
        </is>
      </c>
      <c r="T49" s="0" t="inlineStr">
        <is>
          <t>c1xj</t>
        </is>
      </c>
      <c r="U49" s="0" t="inlineStr">
        <is>
          <t>a5j</t>
        </is>
      </c>
      <c r="V49" s="0" t="inlineStr">
        <is>
          <t>a1a</t>
        </is>
      </c>
      <c r="W49" s="0" t="inlineStr">
        <is>
          <t>b1a</t>
        </is>
      </c>
      <c r="X49" s="0" t="inlineStr">
        <is>
          <t>a1a</t>
        </is>
      </c>
      <c r="Y49" s="0" t="inlineStr">
        <is>
          <t>a3g</t>
        </is>
      </c>
      <c r="Z49" s="0" t="inlineStr">
        <is>
          <t>c</t>
        </is>
      </c>
      <c r="AA49" s="0" t="inlineStr">
        <is>
          <t>a4b5</t>
        </is>
      </c>
      <c r="AB49" s="0" t="inlineStr">
        <is>
          <t>a4</t>
        </is>
      </c>
    </row>
    <row r="50">
      <c r="A50" s="0" t="inlineStr">
        <is>
          <t>Y46</t>
        </is>
      </c>
      <c r="C50" s="0" t="inlineStr">
        <is>
          <t>Yehodiya</t>
        </is>
      </c>
      <c r="D50" s="0" t="inlineStr">
        <is>
          <t>Yehodiya</t>
        </is>
      </c>
      <c r="F50" s="0" t="n">
        <v>10</v>
      </c>
      <c r="G50" s="0" t="inlineStr">
        <is>
          <t>lone</t>
        </is>
      </c>
      <c r="I50" s="0" t="inlineStr">
        <is>
          <t>lone</t>
        </is>
      </c>
      <c r="K50" s="0" t="inlineStr">
        <is>
          <t>black mark on back, black tail</t>
        </is>
      </c>
      <c r="L50" s="0" t="inlineStr">
        <is>
          <t>11.10.20</t>
        </is>
      </c>
      <c r="M50" s="0" t="n">
        <v>1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2</v>
      </c>
      <c r="S50" s="0" t="inlineStr">
        <is>
          <t>a1vyh_a1h_a1b_b2b_a1b_c1h_b2_P_N</t>
        </is>
      </c>
      <c r="T50" s="0" t="inlineStr">
        <is>
          <t>a1vyh</t>
        </is>
      </c>
      <c r="U50" s="0" t="inlineStr">
        <is>
          <t>a1h</t>
        </is>
      </c>
      <c r="V50" s="0" t="inlineStr">
        <is>
          <t>a1b</t>
        </is>
      </c>
      <c r="W50" s="0" t="inlineStr">
        <is>
          <t>b2b</t>
        </is>
      </c>
      <c r="X50" s="0" t="inlineStr">
        <is>
          <t>a1b</t>
        </is>
      </c>
      <c r="Y50" s="0" t="inlineStr">
        <is>
          <t>c1h</t>
        </is>
      </c>
      <c r="Z50" s="0" t="inlineStr">
        <is>
          <t>b2</t>
        </is>
      </c>
      <c r="AA50" s="0" t="inlineStr">
        <is>
          <t>P</t>
        </is>
      </c>
      <c r="AB50" s="0" t="inlineStr">
        <is>
          <t>N</t>
        </is>
      </c>
    </row>
    <row r="51">
      <c r="A51" s="0" t="inlineStr">
        <is>
          <t>Y47</t>
        </is>
      </c>
      <c r="C51" s="0" t="inlineStr">
        <is>
          <t>Yehodiya</t>
        </is>
      </c>
      <c r="D51" s="0" t="inlineStr">
        <is>
          <t>Yehodiya</t>
        </is>
      </c>
      <c r="F51" s="0" t="n">
        <v>10</v>
      </c>
      <c r="G51" s="0" t="inlineStr">
        <is>
          <t>group</t>
        </is>
      </c>
      <c r="I51" s="0" t="inlineStr">
        <is>
          <t>yehodiya trio</t>
        </is>
      </c>
      <c r="J51" s="0" t="inlineStr">
        <is>
          <t>Y48, Y36</t>
        </is>
      </c>
      <c r="L51" s="0" t="inlineStr">
        <is>
          <t>18.10.20-07.12.20</t>
        </is>
      </c>
      <c r="M51" s="0" t="n">
        <v>1</v>
      </c>
      <c r="N51" s="0" t="n">
        <v>1</v>
      </c>
      <c r="O51" s="0" t="n">
        <v>0</v>
      </c>
      <c r="P51" s="0" t="n">
        <v>2</v>
      </c>
      <c r="Q51" s="0" t="n">
        <v>0</v>
      </c>
      <c r="R51" s="0" t="n">
        <v>3</v>
      </c>
      <c r="S51" s="0" t="inlineStr">
        <is>
          <t>b1f_a4f_a2b_Rb2bLN_a2b_c1g_a2_aNb4_a2</t>
        </is>
      </c>
      <c r="T51" s="0" t="inlineStr">
        <is>
          <t>b1f</t>
        </is>
      </c>
      <c r="U51" s="0" t="inlineStr">
        <is>
          <t>a4f</t>
        </is>
      </c>
      <c r="V51" s="0" t="inlineStr">
        <is>
          <t>a2b</t>
        </is>
      </c>
      <c r="W51" s="0" t="inlineStr">
        <is>
          <t>Rb2bLN</t>
        </is>
      </c>
      <c r="X51" s="0" t="inlineStr">
        <is>
          <t>a2b</t>
        </is>
      </c>
      <c r="Y51" s="0" t="inlineStr">
        <is>
          <t>c1g</t>
        </is>
      </c>
      <c r="Z51" s="0" t="inlineStr">
        <is>
          <t>a2</t>
        </is>
      </c>
      <c r="AA51" s="0" t="inlineStr">
        <is>
          <t>aNb4</t>
        </is>
      </c>
      <c r="AB51" s="0" t="inlineStr">
        <is>
          <t>a2</t>
        </is>
      </c>
    </row>
    <row r="52">
      <c r="A52" s="0" t="inlineStr">
        <is>
          <t>Y48</t>
        </is>
      </c>
      <c r="C52" s="0" t="inlineStr">
        <is>
          <t>Yehodiya</t>
        </is>
      </c>
      <c r="D52" s="0" t="inlineStr">
        <is>
          <t>Yehodiya</t>
        </is>
      </c>
      <c r="E52" s="0" t="inlineStr">
        <is>
          <t>f</t>
        </is>
      </c>
      <c r="F52" s="0" t="inlineStr">
        <is>
          <t>10, 7</t>
        </is>
      </c>
      <c r="G52" s="0" t="inlineStr">
        <is>
          <t>group</t>
        </is>
      </c>
      <c r="I52" s="0" t="inlineStr">
        <is>
          <t>yehodiya trio</t>
        </is>
      </c>
      <c r="J52" s="0" t="inlineStr">
        <is>
          <t>Y36, Y47</t>
        </is>
      </c>
      <c r="L52" s="0" t="inlineStr">
        <is>
          <t>6.11.20-07.12.20</t>
        </is>
      </c>
      <c r="M52" s="0" t="n">
        <v>1</v>
      </c>
      <c r="N52" s="0" t="n">
        <v>0</v>
      </c>
      <c r="O52" s="0" t="n">
        <v>0</v>
      </c>
      <c r="P52" s="0" t="n">
        <v>3</v>
      </c>
      <c r="Q52" s="0" t="n">
        <v>0</v>
      </c>
      <c r="R52" s="0" t="n">
        <v>3</v>
      </c>
      <c r="S52" s="0" t="inlineStr">
        <is>
          <t>ayj_N_a2a_b1a_a2a_c1i_c_N_N</t>
        </is>
      </c>
      <c r="T52" s="0" t="inlineStr">
        <is>
          <t>ayj</t>
        </is>
      </c>
      <c r="U52" s="0" t="inlineStr">
        <is>
          <t>N</t>
        </is>
      </c>
      <c r="V52" s="0" t="inlineStr">
        <is>
          <t>a2a</t>
        </is>
      </c>
      <c r="W52" s="0" t="inlineStr">
        <is>
          <t>b1a</t>
        </is>
      </c>
      <c r="X52" s="0" t="inlineStr">
        <is>
          <t>a2a</t>
        </is>
      </c>
      <c r="Y52" s="0" t="inlineStr">
        <is>
          <t>c1i</t>
        </is>
      </c>
      <c r="Z52" s="0" t="inlineStr">
        <is>
          <t>c</t>
        </is>
      </c>
      <c r="AA52" s="0" t="inlineStr">
        <is>
          <t>N</t>
        </is>
      </c>
      <c r="AB52" s="0" t="inlineStr">
        <is>
          <t>N</t>
        </is>
      </c>
    </row>
    <row r="53">
      <c r="A53" s="0" t="inlineStr">
        <is>
          <t>Y37</t>
        </is>
      </c>
      <c r="C53" s="0" t="inlineStr">
        <is>
          <t>Yehodiya</t>
        </is>
      </c>
      <c r="D53" s="0" t="inlineStr">
        <is>
          <t>Yehodiya</t>
        </is>
      </c>
      <c r="F53" s="0" t="n">
        <v>7</v>
      </c>
      <c r="G53" s="0" t="inlineStr">
        <is>
          <t>unknown</t>
        </is>
      </c>
      <c r="I53" s="0" t="inlineStr">
        <is>
          <t>indeterminate</t>
        </is>
      </c>
      <c r="L53" s="0" t="inlineStr">
        <is>
          <t>5.11.20</t>
        </is>
      </c>
      <c r="M53" s="0" t="n">
        <v>1</v>
      </c>
      <c r="N53" s="0" t="n">
        <v>0</v>
      </c>
      <c r="O53" s="0" t="n">
        <v>2</v>
      </c>
      <c r="P53" s="0" t="n">
        <v>0</v>
      </c>
      <c r="Q53" s="0" t="n">
        <v>0</v>
      </c>
      <c r="R53" s="0" t="n">
        <v>2</v>
      </c>
      <c r="S53" s="0" t="inlineStr">
        <is>
          <t>a3uzf_a4f_N_b1a_b1a_c3f_a1_a4b1_a2</t>
        </is>
      </c>
      <c r="T53" s="0" t="inlineStr">
        <is>
          <t>a3uzf</t>
        </is>
      </c>
      <c r="U53" s="0" t="inlineStr">
        <is>
          <t>a4f</t>
        </is>
      </c>
      <c r="V53" s="0" t="inlineStr">
        <is>
          <t>N</t>
        </is>
      </c>
      <c r="W53" s="0" t="inlineStr">
        <is>
          <t>b1a</t>
        </is>
      </c>
      <c r="X53" s="0" t="inlineStr">
        <is>
          <t>b1a</t>
        </is>
      </c>
      <c r="Y53" s="0" t="inlineStr">
        <is>
          <t>c3f</t>
        </is>
      </c>
      <c r="Z53" s="0" t="inlineStr">
        <is>
          <t>a1</t>
        </is>
      </c>
      <c r="AA53" s="0" t="inlineStr">
        <is>
          <t>a4b1</t>
        </is>
      </c>
      <c r="AB53" s="0" t="inlineStr">
        <is>
          <t>a2</t>
        </is>
      </c>
    </row>
    <row r="54">
      <c r="A54" s="0" t="inlineStr">
        <is>
          <t>Sh109</t>
        </is>
      </c>
      <c r="C54" s="0" t="inlineStr">
        <is>
          <t>Shaal</t>
        </is>
      </c>
      <c r="D54" s="0" t="inlineStr">
        <is>
          <t>Shaal</t>
        </is>
      </c>
      <c r="F54" s="0" t="n">
        <v>17</v>
      </c>
      <c r="G54" s="0" t="inlineStr">
        <is>
          <t>pack</t>
        </is>
      </c>
      <c r="I54" s="0" t="inlineStr">
        <is>
          <t>shaal east</t>
        </is>
      </c>
      <c r="J54" s="0" t="inlineStr">
        <is>
          <t>Sh49</t>
        </is>
      </c>
      <c r="L54" s="0" t="inlineStr">
        <is>
          <t>11.10.20</t>
        </is>
      </c>
      <c r="M54" s="0" t="n">
        <v>1</v>
      </c>
      <c r="N54" s="0" t="n">
        <v>1</v>
      </c>
      <c r="O54" s="0" t="n">
        <v>0</v>
      </c>
      <c r="P54" s="0" t="n">
        <v>2</v>
      </c>
      <c r="Q54" s="0" t="n">
        <v>0</v>
      </c>
      <c r="R54" s="0" t="n">
        <v>3</v>
      </c>
      <c r="S54" s="0" t="inlineStr">
        <is>
          <t>a3vzf_a4f_N_b2a_a2a_a4h_a1_a3_a4</t>
        </is>
      </c>
      <c r="T54" s="0" t="inlineStr">
        <is>
          <t>a3vzf</t>
        </is>
      </c>
      <c r="U54" s="0" t="inlineStr">
        <is>
          <t>a4f</t>
        </is>
      </c>
      <c r="V54" s="0" t="inlineStr">
        <is>
          <t>N</t>
        </is>
      </c>
      <c r="W54" s="0" t="inlineStr">
        <is>
          <t>b2a</t>
        </is>
      </c>
      <c r="X54" s="0" t="inlineStr">
        <is>
          <t>a2a</t>
        </is>
      </c>
      <c r="Y54" s="0" t="inlineStr">
        <is>
          <t>a4h</t>
        </is>
      </c>
      <c r="Z54" s="0" t="inlineStr">
        <is>
          <t>a1</t>
        </is>
      </c>
      <c r="AA54" s="0" t="inlineStr">
        <is>
          <t>a3</t>
        </is>
      </c>
      <c r="AB54" s="0" t="inlineStr">
        <is>
          <t>a4</t>
        </is>
      </c>
    </row>
    <row r="55">
      <c r="A55" s="0" t="inlineStr">
        <is>
          <t>Sh49</t>
        </is>
      </c>
      <c r="C55" s="0" t="inlineStr">
        <is>
          <t>Shaal</t>
        </is>
      </c>
      <c r="D55" s="0" t="inlineStr">
        <is>
          <t>Shaal</t>
        </is>
      </c>
      <c r="E55" s="0" t="inlineStr">
        <is>
          <t>m</t>
        </is>
      </c>
      <c r="F55" s="0" t="inlineStr">
        <is>
          <t>16, 17</t>
        </is>
      </c>
      <c r="G55" s="0" t="inlineStr">
        <is>
          <t>pack</t>
        </is>
      </c>
      <c r="I55" s="0" t="inlineStr">
        <is>
          <t>shaal east</t>
        </is>
      </c>
      <c r="J55" s="0" t="inlineStr">
        <is>
          <t>Sh109</t>
        </is>
      </c>
      <c r="K55" s="0" t="inlineStr">
        <is>
          <t>massive</t>
        </is>
      </c>
      <c r="L55" s="0" t="inlineStr">
        <is>
          <t>03.10.20-11.10.20</t>
        </is>
      </c>
      <c r="M55" s="0" t="n">
        <v>2</v>
      </c>
      <c r="N55" s="0" t="n">
        <v>4</v>
      </c>
      <c r="O55" s="0" t="n">
        <v>0</v>
      </c>
      <c r="P55" s="0" t="n">
        <v>2</v>
      </c>
      <c r="Q55" s="0" t="n">
        <v>0</v>
      </c>
      <c r="R55" s="0" t="n">
        <v>6</v>
      </c>
      <c r="S55" s="0" t="inlineStr">
        <is>
          <t>b1i_a3i_a1a_b2a_a1a_c3i_b2_a3b5_a3</t>
        </is>
      </c>
      <c r="T55" s="0" t="inlineStr">
        <is>
          <t>b1i</t>
        </is>
      </c>
      <c r="U55" s="0" t="inlineStr">
        <is>
          <t>a3i</t>
        </is>
      </c>
      <c r="V55" s="0" t="inlineStr">
        <is>
          <t>a1a</t>
        </is>
      </c>
      <c r="W55" s="0" t="inlineStr">
        <is>
          <t>b2a</t>
        </is>
      </c>
      <c r="X55" s="0" t="inlineStr">
        <is>
          <t>a1a</t>
        </is>
      </c>
      <c r="Y55" s="0" t="inlineStr">
        <is>
          <t>c3i</t>
        </is>
      </c>
      <c r="Z55" s="0" t="inlineStr">
        <is>
          <t>b2</t>
        </is>
      </c>
      <c r="AA55" s="0" t="inlineStr">
        <is>
          <t>a3b5</t>
        </is>
      </c>
      <c r="AB55" s="0" t="inlineStr">
        <is>
          <t>a3</t>
        </is>
      </c>
    </row>
    <row r="56">
      <c r="A56" s="0" t="inlineStr">
        <is>
          <t>Sh50</t>
        </is>
      </c>
      <c r="C56" s="0" t="inlineStr">
        <is>
          <t>Shaal</t>
        </is>
      </c>
      <c r="D56" s="0" t="inlineStr">
        <is>
          <t>Shaal</t>
        </is>
      </c>
      <c r="F56" s="0" t="n">
        <v>17</v>
      </c>
      <c r="G56" s="0" t="inlineStr">
        <is>
          <t>pack</t>
        </is>
      </c>
      <c r="I56" s="0" t="inlineStr">
        <is>
          <t>shaal east</t>
        </is>
      </c>
      <c r="J56" s="0" t="inlineStr">
        <is>
          <t>7 min after Sh49+Sh109</t>
        </is>
      </c>
      <c r="K56" s="0" t="inlineStr">
        <is>
          <t>light fur near the ears</t>
        </is>
      </c>
      <c r="L56" s="0" t="inlineStr">
        <is>
          <t>9-11.10.20</t>
        </is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2</v>
      </c>
      <c r="R56" s="0" t="n">
        <v>3</v>
      </c>
      <c r="S56" s="0" t="inlineStr">
        <is>
          <t>b2i_a1i_N_N_N_c1i_b2_a3_a2</t>
        </is>
      </c>
      <c r="T56" s="0" t="inlineStr">
        <is>
          <t>b2i</t>
        </is>
      </c>
      <c r="U56" s="0" t="inlineStr">
        <is>
          <t>a1i</t>
        </is>
      </c>
      <c r="V56" s="0" t="inlineStr">
        <is>
          <t>N</t>
        </is>
      </c>
      <c r="W56" s="0" t="inlineStr">
        <is>
          <t>N</t>
        </is>
      </c>
      <c r="X56" s="0" t="inlineStr">
        <is>
          <t>N</t>
        </is>
      </c>
      <c r="Y56" s="0" t="inlineStr">
        <is>
          <t>c1i</t>
        </is>
      </c>
      <c r="Z56" s="0" t="inlineStr">
        <is>
          <t>b2</t>
        </is>
      </c>
      <c r="AA56" s="0" t="inlineStr">
        <is>
          <t>a3</t>
        </is>
      </c>
      <c r="AB56" s="0" t="inlineStr">
        <is>
          <t>a2</t>
        </is>
      </c>
    </row>
    <row r="57">
      <c r="A57" s="0" t="inlineStr">
        <is>
          <t>Sh51</t>
        </is>
      </c>
      <c r="C57" s="0" t="inlineStr">
        <is>
          <t>Shaal</t>
        </is>
      </c>
      <c r="D57" s="0" t="inlineStr">
        <is>
          <t>Shaal</t>
        </is>
      </c>
      <c r="F57" s="0" t="n">
        <v>17</v>
      </c>
      <c r="G57" s="0" t="inlineStr">
        <is>
          <t>pack*</t>
        </is>
      </c>
      <c r="I57" s="0" t="inlineStr">
        <is>
          <t>shaal east*</t>
        </is>
      </c>
      <c r="L57" s="0" t="inlineStr">
        <is>
          <t>12-29.10.20</t>
        </is>
      </c>
      <c r="M57" s="0" t="n">
        <v>2</v>
      </c>
      <c r="N57" s="0" t="n">
        <v>0</v>
      </c>
      <c r="O57" s="0" t="n">
        <v>3</v>
      </c>
      <c r="P57" s="0" t="n">
        <v>3</v>
      </c>
      <c r="Q57" s="0" t="n">
        <v>0</v>
      </c>
      <c r="R57" s="0" t="n">
        <v>6</v>
      </c>
      <c r="S57" s="0" t="inlineStr">
        <is>
          <t>b4i_a9i_a1a_b2a_a1a_c3i_a2_a4b1_a2</t>
        </is>
      </c>
      <c r="T57" s="0" t="inlineStr">
        <is>
          <t>b4i</t>
        </is>
      </c>
      <c r="U57" s="0" t="inlineStr">
        <is>
          <t>a9i</t>
        </is>
      </c>
      <c r="V57" s="0" t="inlineStr">
        <is>
          <t>a1a</t>
        </is>
      </c>
      <c r="W57" s="0" t="inlineStr">
        <is>
          <t>b2a</t>
        </is>
      </c>
      <c r="X57" s="0" t="inlineStr">
        <is>
          <t>a1a</t>
        </is>
      </c>
      <c r="Y57" s="0" t="inlineStr">
        <is>
          <t>c3i</t>
        </is>
      </c>
      <c r="Z57" s="0" t="inlineStr">
        <is>
          <t>a2</t>
        </is>
      </c>
      <c r="AA57" s="0" t="inlineStr">
        <is>
          <t>a4b1</t>
        </is>
      </c>
      <c r="AB57" s="0" t="inlineStr">
        <is>
          <t>a2</t>
        </is>
      </c>
    </row>
    <row r="58">
      <c r="A58" s="0" t="inlineStr">
        <is>
          <t>Sh52</t>
        </is>
      </c>
      <c r="C58" s="0" t="inlineStr">
        <is>
          <t>Shaal</t>
        </is>
      </c>
      <c r="D58" s="0" t="inlineStr">
        <is>
          <t>Shaal</t>
        </is>
      </c>
      <c r="E58" s="0" t="inlineStr">
        <is>
          <t>f</t>
        </is>
      </c>
      <c r="F58" s="0" t="n">
        <v>17</v>
      </c>
      <c r="G58" s="0" t="inlineStr">
        <is>
          <t>pack</t>
        </is>
      </c>
      <c r="I58" s="0" t="inlineStr">
        <is>
          <t>shaal east</t>
        </is>
      </c>
      <c r="J58" s="0" t="inlineStr">
        <is>
          <t>Sh53+1 unrecognized</t>
        </is>
      </c>
      <c r="K58" s="0" t="inlineStr">
        <is>
          <t xml:space="preserve">loves mud </t>
        </is>
      </c>
      <c r="L58" s="0" t="inlineStr">
        <is>
          <t>15.10.20</t>
        </is>
      </c>
      <c r="M58" s="0" t="n">
        <v>1</v>
      </c>
      <c r="N58" s="0" t="n">
        <v>0</v>
      </c>
      <c r="O58" s="0" t="n">
        <v>2</v>
      </c>
      <c r="P58" s="0" t="n">
        <v>2</v>
      </c>
      <c r="Q58" s="0" t="n">
        <v>1</v>
      </c>
      <c r="R58" s="0" t="n">
        <v>5</v>
      </c>
      <c r="S58" s="0" t="inlineStr">
        <is>
          <t>b4i_a1i_a2a_b1a_a1a_b2i_b2_N_N</t>
        </is>
      </c>
      <c r="T58" s="0" t="inlineStr">
        <is>
          <t>b4i</t>
        </is>
      </c>
      <c r="U58" s="0" t="inlineStr">
        <is>
          <t>a1i</t>
        </is>
      </c>
      <c r="V58" s="0" t="inlineStr">
        <is>
          <t>a2a</t>
        </is>
      </c>
      <c r="W58" s="0" t="inlineStr">
        <is>
          <t>b1a</t>
        </is>
      </c>
      <c r="X58" s="0" t="inlineStr">
        <is>
          <t>a1a</t>
        </is>
      </c>
      <c r="Y58" s="0" t="inlineStr">
        <is>
          <t>b2i</t>
        </is>
      </c>
      <c r="Z58" s="0" t="inlineStr">
        <is>
          <t>b2</t>
        </is>
      </c>
      <c r="AA58" s="0" t="inlineStr">
        <is>
          <t>N</t>
        </is>
      </c>
      <c r="AB58" s="0" t="inlineStr">
        <is>
          <t>N</t>
        </is>
      </c>
    </row>
    <row r="59">
      <c r="A59" s="0" t="inlineStr">
        <is>
          <t>Sh53</t>
        </is>
      </c>
      <c r="C59" s="0" t="inlineStr">
        <is>
          <t>Shaal</t>
        </is>
      </c>
      <c r="D59" s="0" t="inlineStr">
        <is>
          <t>Shaal</t>
        </is>
      </c>
      <c r="E59" s="0" t="inlineStr">
        <is>
          <t>f</t>
        </is>
      </c>
      <c r="F59" s="0" t="n">
        <v>17</v>
      </c>
      <c r="G59" s="0" t="inlineStr">
        <is>
          <t>pack</t>
        </is>
      </c>
      <c r="I59" s="0" t="inlineStr">
        <is>
          <t>shaal east</t>
        </is>
      </c>
      <c r="J59" s="0" t="inlineStr">
        <is>
          <t>Sh52+1 unrecognized</t>
        </is>
      </c>
      <c r="L59" s="0" t="inlineStr">
        <is>
          <t>19.10.20-17.11.20</t>
        </is>
      </c>
      <c r="M59" s="0" t="n">
        <v>2</v>
      </c>
      <c r="N59" s="0" t="n">
        <v>0</v>
      </c>
      <c r="O59" s="0" t="n">
        <v>3</v>
      </c>
      <c r="P59" s="0" t="n">
        <v>2</v>
      </c>
      <c r="Q59" s="0" t="n">
        <v>0</v>
      </c>
      <c r="R59" s="0" t="n">
        <v>5</v>
      </c>
      <c r="S59" s="0" t="inlineStr">
        <is>
          <t>b3j_a1j_b_b1a_a2a_c3g_b1_a4b5_a4</t>
        </is>
      </c>
      <c r="T59" s="0" t="inlineStr">
        <is>
          <t>b3j</t>
        </is>
      </c>
      <c r="U59" s="0" t="inlineStr">
        <is>
          <t>a1j</t>
        </is>
      </c>
      <c r="V59" s="0" t="inlineStr">
        <is>
          <t>b</t>
        </is>
      </c>
      <c r="W59" s="0" t="inlineStr">
        <is>
          <t>b1a</t>
        </is>
      </c>
      <c r="X59" s="0" t="inlineStr">
        <is>
          <t>a2a</t>
        </is>
      </c>
      <c r="Y59" s="0" t="inlineStr">
        <is>
          <t>c3g</t>
        </is>
      </c>
      <c r="Z59" s="0" t="inlineStr">
        <is>
          <t>b1</t>
        </is>
      </c>
      <c r="AA59" s="0" t="inlineStr">
        <is>
          <t>a4b5</t>
        </is>
      </c>
      <c r="AB59" s="0" t="inlineStr">
        <is>
          <t>a4</t>
        </is>
      </c>
    </row>
    <row r="60">
      <c r="A60" s="0" t="inlineStr">
        <is>
          <t>Sh54</t>
        </is>
      </c>
      <c r="C60" s="0" t="inlineStr">
        <is>
          <t>Shaal</t>
        </is>
      </c>
      <c r="D60" s="0" t="inlineStr">
        <is>
          <t>Shaal</t>
        </is>
      </c>
      <c r="F60" s="0" t="n">
        <v>17</v>
      </c>
      <c r="G60" s="0" t="inlineStr">
        <is>
          <t>pack*</t>
        </is>
      </c>
      <c r="I60" s="0" t="inlineStr">
        <is>
          <t>shaal east*</t>
        </is>
      </c>
      <c r="K60" s="0" t="inlineStr">
        <is>
          <t xml:space="preserve">”tringle” shape on the cheek </t>
        </is>
      </c>
      <c r="L60" s="0" t="inlineStr">
        <is>
          <t>23.10.20</t>
        </is>
      </c>
      <c r="M60" s="0" t="n">
        <v>1</v>
      </c>
      <c r="N60" s="0" t="n">
        <v>3</v>
      </c>
      <c r="O60" s="0" t="n">
        <v>0</v>
      </c>
      <c r="P60" s="0" t="n">
        <v>1</v>
      </c>
      <c r="Q60" s="0" t="n">
        <v>0</v>
      </c>
      <c r="R60" s="0" t="n">
        <v>4</v>
      </c>
      <c r="S60" s="0" t="inlineStr">
        <is>
          <t>c1yi_a5i_b_d_d_c3g_b1_a3b5_a4</t>
        </is>
      </c>
      <c r="T60" s="0" t="inlineStr">
        <is>
          <t>c1yi</t>
        </is>
      </c>
      <c r="U60" s="0" t="inlineStr">
        <is>
          <t>a5i</t>
        </is>
      </c>
      <c r="V60" s="0" t="inlineStr">
        <is>
          <t>b</t>
        </is>
      </c>
      <c r="W60" s="0" t="inlineStr">
        <is>
          <t>d</t>
        </is>
      </c>
      <c r="X60" s="0" t="inlineStr">
        <is>
          <t>d</t>
        </is>
      </c>
      <c r="Y60" s="0" t="inlineStr">
        <is>
          <t>c3g</t>
        </is>
      </c>
      <c r="Z60" s="0" t="inlineStr">
        <is>
          <t>b1</t>
        </is>
      </c>
      <c r="AA60" s="0" t="inlineStr">
        <is>
          <t>a3b5</t>
        </is>
      </c>
      <c r="AB60" s="0" t="inlineStr">
        <is>
          <t>a4</t>
        </is>
      </c>
    </row>
    <row r="61">
      <c r="A61" s="0" t="inlineStr">
        <is>
          <t>Sh55</t>
        </is>
      </c>
      <c r="C61" s="0" t="inlineStr">
        <is>
          <t>Shaal</t>
        </is>
      </c>
      <c r="D61" s="0" t="inlineStr">
        <is>
          <t>Shaal</t>
        </is>
      </c>
      <c r="F61" s="0" t="n">
        <v>20</v>
      </c>
      <c r="G61" s="0" t="inlineStr">
        <is>
          <t>group</t>
        </is>
      </c>
      <c r="I61" s="0" t="inlineStr">
        <is>
          <t>Shaal west</t>
        </is>
      </c>
      <c r="J61" s="0" t="inlineStr">
        <is>
          <t>seen together</t>
        </is>
      </c>
      <c r="L61" s="0" t="inlineStr">
        <is>
          <t>13.9.20</t>
        </is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1</v>
      </c>
      <c r="S61" s="0" t="inlineStr">
        <is>
          <t>a5uze_N_N_N_N_N_N_a4_a3</t>
        </is>
      </c>
      <c r="T61" s="0" t="inlineStr">
        <is>
          <t>a5uze</t>
        </is>
      </c>
      <c r="U61" s="0" t="inlineStr">
        <is>
          <t>N</t>
        </is>
      </c>
      <c r="V61" s="0" t="inlineStr">
        <is>
          <t>N</t>
        </is>
      </c>
      <c r="W61" s="0" t="inlineStr">
        <is>
          <t>N</t>
        </is>
      </c>
      <c r="X61" s="0" t="inlineStr">
        <is>
          <t>N</t>
        </is>
      </c>
      <c r="Y61" s="0" t="inlineStr">
        <is>
          <t>N</t>
        </is>
      </c>
      <c r="Z61" s="0" t="inlineStr">
        <is>
          <t>N</t>
        </is>
      </c>
      <c r="AA61" s="0" t="inlineStr">
        <is>
          <t>a4</t>
        </is>
      </c>
      <c r="AB61" s="0" t="inlineStr">
        <is>
          <t>a3</t>
        </is>
      </c>
    </row>
    <row r="62">
      <c r="A62" s="0" t="inlineStr">
        <is>
          <t>Sh57</t>
        </is>
      </c>
      <c r="C62" s="0" t="inlineStr">
        <is>
          <t>Shaal</t>
        </is>
      </c>
      <c r="D62" s="0" t="inlineStr">
        <is>
          <t>Shaal</t>
        </is>
      </c>
      <c r="F62" s="0" t="n">
        <v>20</v>
      </c>
      <c r="G62" s="0" t="inlineStr">
        <is>
          <t>unknown</t>
        </is>
      </c>
      <c r="I62" s="0" t="inlineStr">
        <is>
          <t>Shaal west*</t>
        </is>
      </c>
      <c r="J62" s="0" t="inlineStr">
        <is>
          <t>seen together*</t>
        </is>
      </c>
      <c r="K62" s="0" t="inlineStr">
        <is>
          <t>unrecognized like him seen with the pack, seen wondering in the same tritoty as the pack</t>
        </is>
      </c>
      <c r="L62" s="0" t="inlineStr">
        <is>
          <t>23.10-30.11.20</t>
        </is>
      </c>
      <c r="M62" s="0" t="n">
        <v>2</v>
      </c>
      <c r="N62" s="0" t="n">
        <v>0</v>
      </c>
      <c r="O62" s="0" t="n">
        <v>3</v>
      </c>
      <c r="P62" s="0" t="n">
        <v>3</v>
      </c>
      <c r="Q62" s="0" t="n">
        <v>0</v>
      </c>
      <c r="R62" s="0" t="n">
        <v>6</v>
      </c>
      <c r="S62" s="0" t="inlineStr">
        <is>
          <t>a3tyf_a2f_N_b1b_a1b_c1f_a1_a4b5_a2</t>
        </is>
      </c>
      <c r="T62" s="0" t="inlineStr">
        <is>
          <t>a3tyf</t>
        </is>
      </c>
      <c r="U62" s="0" t="inlineStr">
        <is>
          <t>a2f</t>
        </is>
      </c>
      <c r="V62" s="0" t="inlineStr">
        <is>
          <t>N</t>
        </is>
      </c>
      <c r="W62" s="0" t="inlineStr">
        <is>
          <t>b1b</t>
        </is>
      </c>
      <c r="X62" s="0" t="inlineStr">
        <is>
          <t>a1b</t>
        </is>
      </c>
      <c r="Y62" s="0" t="inlineStr">
        <is>
          <t>c1f</t>
        </is>
      </c>
      <c r="Z62" s="0" t="inlineStr">
        <is>
          <t>a1</t>
        </is>
      </c>
      <c r="AA62" s="0" t="inlineStr">
        <is>
          <t>a4b5</t>
        </is>
      </c>
      <c r="AB62" s="0" t="inlineStr">
        <is>
          <t>a2</t>
        </is>
      </c>
    </row>
    <row r="63">
      <c r="A63" s="0" t="inlineStr">
        <is>
          <t>Sh59</t>
        </is>
      </c>
      <c r="C63" s="0" t="inlineStr">
        <is>
          <t>Shaal</t>
        </is>
      </c>
      <c r="D63" s="0" t="inlineStr">
        <is>
          <t>Shaal</t>
        </is>
      </c>
      <c r="F63" s="0" t="n">
        <v>19</v>
      </c>
      <c r="G63" s="0" t="inlineStr">
        <is>
          <t>lone</t>
        </is>
      </c>
      <c r="I63" s="0" t="inlineStr">
        <is>
          <t>lone</t>
        </is>
      </c>
      <c r="L63" s="0" t="inlineStr">
        <is>
          <t>18.11.20</t>
        </is>
      </c>
      <c r="M63" s="0" t="n">
        <v>1</v>
      </c>
      <c r="N63" s="0" t="n">
        <v>0</v>
      </c>
      <c r="O63" s="0" t="n">
        <v>3</v>
      </c>
      <c r="P63" s="0" t="n">
        <v>0</v>
      </c>
      <c r="Q63" s="0" t="n">
        <v>1</v>
      </c>
      <c r="R63" s="0" t="n">
        <v>4</v>
      </c>
      <c r="S63" s="0" t="inlineStr">
        <is>
          <t>c1zf_a5f_N_N_N_a3f_N_a5bN_N</t>
        </is>
      </c>
      <c r="T63" s="0" t="inlineStr">
        <is>
          <t>c1zf</t>
        </is>
      </c>
      <c r="U63" s="0" t="inlineStr">
        <is>
          <t>a5f</t>
        </is>
      </c>
      <c r="V63" s="0" t="inlineStr">
        <is>
          <t>N</t>
        </is>
      </c>
      <c r="W63" s="0" t="inlineStr">
        <is>
          <t>N</t>
        </is>
      </c>
      <c r="X63" s="0" t="inlineStr">
        <is>
          <t>N</t>
        </is>
      </c>
      <c r="Y63" s="0" t="inlineStr">
        <is>
          <t>a3f</t>
        </is>
      </c>
      <c r="Z63" s="0" t="inlineStr">
        <is>
          <t>N</t>
        </is>
      </c>
      <c r="AA63" s="0" t="inlineStr">
        <is>
          <t>a5bN</t>
        </is>
      </c>
      <c r="AB63" s="0" t="inlineStr">
        <is>
          <t>N</t>
        </is>
      </c>
    </row>
    <row r="64">
      <c r="A64" s="0" t="inlineStr">
        <is>
          <t>Sl60</t>
        </is>
      </c>
      <c r="C64" s="0" t="inlineStr">
        <is>
          <t>Slopes</t>
        </is>
      </c>
      <c r="D64" s="0" t="inlineStr">
        <is>
          <t>Slopes</t>
        </is>
      </c>
      <c r="F64" s="0" t="inlineStr">
        <is>
          <t>46, 47</t>
        </is>
      </c>
      <c r="G64" s="0" t="inlineStr">
        <is>
          <t>unknown</t>
        </is>
      </c>
      <c r="I64" s="0" t="inlineStr">
        <is>
          <t>slopes*</t>
        </is>
      </c>
      <c r="J64" s="0" t="inlineStr">
        <is>
          <t>unknown</t>
        </is>
      </c>
      <c r="K64" s="0" t="inlineStr">
        <is>
          <t>light fur</t>
        </is>
      </c>
      <c r="L64" s="0" t="inlineStr">
        <is>
          <t>14.09.20</t>
        </is>
      </c>
      <c r="M64" s="0" t="n">
        <v>1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1</v>
      </c>
      <c r="S64" s="0" t="inlineStr">
        <is>
          <t>d2j_a7j_N_N_N_c2i_a1_a8b5_a4</t>
        </is>
      </c>
      <c r="T64" s="0" t="inlineStr">
        <is>
          <t>d2j</t>
        </is>
      </c>
      <c r="U64" s="0" t="inlineStr">
        <is>
          <t>a7j</t>
        </is>
      </c>
      <c r="V64" s="0" t="inlineStr">
        <is>
          <t>N</t>
        </is>
      </c>
      <c r="W64" s="0" t="inlineStr">
        <is>
          <t>N</t>
        </is>
      </c>
      <c r="X64" s="0" t="inlineStr">
        <is>
          <t>N</t>
        </is>
      </c>
      <c r="Y64" s="0" t="inlineStr">
        <is>
          <t>c2i</t>
        </is>
      </c>
      <c r="Z64" s="0" t="inlineStr">
        <is>
          <t>a1</t>
        </is>
      </c>
      <c r="AA64" s="0" t="inlineStr">
        <is>
          <t>a8b5</t>
        </is>
      </c>
      <c r="AB64" s="0" t="inlineStr">
        <is>
          <t>a4</t>
        </is>
      </c>
    </row>
    <row r="65">
      <c r="A65" s="0" t="inlineStr">
        <is>
          <t>Sl61</t>
        </is>
      </c>
      <c r="C65" s="0" t="inlineStr">
        <is>
          <t>Slopes</t>
        </is>
      </c>
      <c r="D65" s="0" t="inlineStr">
        <is>
          <t>Slopes</t>
        </is>
      </c>
      <c r="F65" s="0" t="inlineStr">
        <is>
          <t>46, 47</t>
        </is>
      </c>
      <c r="G65" s="0" t="inlineStr">
        <is>
          <t>unknown</t>
        </is>
      </c>
      <c r="I65" s="0" t="inlineStr">
        <is>
          <t>slopes*</t>
        </is>
      </c>
      <c r="L65" s="0" t="inlineStr">
        <is>
          <t>14.09.20</t>
        </is>
      </c>
      <c r="M65" s="0" t="n">
        <v>1</v>
      </c>
      <c r="N65" s="0" t="n">
        <v>1</v>
      </c>
      <c r="O65" s="0" t="n">
        <v>0</v>
      </c>
      <c r="P65" s="0" t="n">
        <v>1</v>
      </c>
      <c r="Q65" s="0" t="n">
        <v>0</v>
      </c>
      <c r="R65" s="0" t="n">
        <v>2</v>
      </c>
      <c r="S65" s="0" t="inlineStr">
        <is>
          <t>a3tzh_a1h_a2a_b2a_a2a_a3g_N_a3_a2</t>
        </is>
      </c>
      <c r="T65" s="0" t="inlineStr">
        <is>
          <t>a3tzh</t>
        </is>
      </c>
      <c r="U65" s="0" t="inlineStr">
        <is>
          <t>a1h</t>
        </is>
      </c>
      <c r="V65" s="0" t="inlineStr">
        <is>
          <t>a2a</t>
        </is>
      </c>
      <c r="W65" s="0" t="inlineStr">
        <is>
          <t>b2a</t>
        </is>
      </c>
      <c r="X65" s="0" t="inlineStr">
        <is>
          <t>a2a</t>
        </is>
      </c>
      <c r="Y65" s="0" t="inlineStr">
        <is>
          <t>a3g</t>
        </is>
      </c>
      <c r="Z65" s="0" t="inlineStr">
        <is>
          <t>N</t>
        </is>
      </c>
      <c r="AA65" s="0" t="inlineStr">
        <is>
          <t>a3</t>
        </is>
      </c>
      <c r="AB65" s="0" t="inlineStr">
        <is>
          <t>a2</t>
        </is>
      </c>
    </row>
    <row r="66">
      <c r="A66" s="0" t="inlineStr">
        <is>
          <t>Sl62</t>
        </is>
      </c>
      <c r="C66" s="0" t="inlineStr">
        <is>
          <t>Slopes</t>
        </is>
      </c>
      <c r="D66" s="0" t="inlineStr">
        <is>
          <t>Slopes</t>
        </is>
      </c>
      <c r="F66" s="0" t="n">
        <v>46</v>
      </c>
      <c r="G66" s="0" t="inlineStr">
        <is>
          <t>unknown</t>
        </is>
      </c>
      <c r="I66" s="0" t="inlineStr">
        <is>
          <t>slopes*</t>
        </is>
      </c>
      <c r="K66" s="0" t="inlineStr">
        <is>
          <t>light circle on the cheek</t>
        </is>
      </c>
      <c r="L66" s="0" t="inlineStr">
        <is>
          <t>25.9.20</t>
        </is>
      </c>
      <c r="M66" s="0" t="n">
        <v>1</v>
      </c>
      <c r="N66" s="0" t="n">
        <v>0</v>
      </c>
      <c r="O66" s="0" t="n">
        <v>1</v>
      </c>
      <c r="P66" s="0" t="n">
        <v>0</v>
      </c>
      <c r="Q66" s="0" t="n">
        <v>0</v>
      </c>
      <c r="R66" s="0" t="n">
        <v>1</v>
      </c>
      <c r="S66" s="0" t="inlineStr">
        <is>
          <t>c1ye_a5e_N_b2b_a1b_b1e_c_a4_a2</t>
        </is>
      </c>
      <c r="T66" s="0" t="inlineStr">
        <is>
          <t>c1ye</t>
        </is>
      </c>
      <c r="U66" s="0" t="inlineStr">
        <is>
          <t>a5e</t>
        </is>
      </c>
      <c r="V66" s="0" t="inlineStr">
        <is>
          <t>N</t>
        </is>
      </c>
      <c r="W66" s="0" t="inlineStr">
        <is>
          <t>b2b</t>
        </is>
      </c>
      <c r="X66" s="0" t="inlineStr">
        <is>
          <t>a1b</t>
        </is>
      </c>
      <c r="Y66" s="0" t="inlineStr">
        <is>
          <t>b1e</t>
        </is>
      </c>
      <c r="Z66" s="0" t="inlineStr">
        <is>
          <t>c</t>
        </is>
      </c>
      <c r="AA66" s="0" t="inlineStr">
        <is>
          <t>a4</t>
        </is>
      </c>
      <c r="AB66" s="0" t="inlineStr">
        <is>
          <t>a2</t>
        </is>
      </c>
    </row>
    <row r="67">
      <c r="A67" s="0" t="inlineStr">
        <is>
          <t>Sl103</t>
        </is>
      </c>
      <c r="C67" s="0" t="inlineStr">
        <is>
          <t>Slopes</t>
        </is>
      </c>
      <c r="D67" s="0" t="inlineStr">
        <is>
          <t>Slopes</t>
        </is>
      </c>
      <c r="F67" s="0" t="n">
        <v>47</v>
      </c>
      <c r="G67" s="0" t="inlineStr">
        <is>
          <t>lone*</t>
        </is>
      </c>
      <c r="I67" s="0" t="inlineStr">
        <is>
          <t>lone*</t>
        </is>
      </c>
      <c r="L67" s="0" t="inlineStr">
        <is>
          <t>25.11.20</t>
        </is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1</v>
      </c>
      <c r="S67" s="0" t="inlineStr">
        <is>
          <t>c2ze_a5g_N_b2b_N_a4f_a1_a3b4_a3</t>
        </is>
      </c>
      <c r="T67" s="0" t="inlineStr">
        <is>
          <t>c2ze</t>
        </is>
      </c>
      <c r="U67" s="0" t="inlineStr">
        <is>
          <t>a5g</t>
        </is>
      </c>
      <c r="V67" s="0" t="inlineStr">
        <is>
          <t>N</t>
        </is>
      </c>
      <c r="W67" s="0" t="inlineStr">
        <is>
          <t>b2b</t>
        </is>
      </c>
      <c r="X67" s="0" t="inlineStr">
        <is>
          <t>N</t>
        </is>
      </c>
      <c r="Y67" s="0" t="inlineStr">
        <is>
          <t>a4f</t>
        </is>
      </c>
      <c r="Z67" s="0" t="inlineStr">
        <is>
          <t>a1</t>
        </is>
      </c>
      <c r="AA67" s="0" t="inlineStr">
        <is>
          <t>a3b4</t>
        </is>
      </c>
      <c r="AB67" s="0" t="inlineStr">
        <is>
          <t>a3</t>
        </is>
      </c>
    </row>
    <row r="68">
      <c r="A68" s="0" t="inlineStr">
        <is>
          <t>Sl64</t>
        </is>
      </c>
      <c r="C68" s="0" t="inlineStr">
        <is>
          <t>Slopes</t>
        </is>
      </c>
      <c r="D68" s="0" t="inlineStr">
        <is>
          <t>Slopes</t>
        </is>
      </c>
      <c r="E68" s="0" t="inlineStr">
        <is>
          <t>f</t>
        </is>
      </c>
      <c r="F68" s="0" t="n">
        <v>47</v>
      </c>
      <c r="G68" s="0" t="inlineStr">
        <is>
          <t>unknown</t>
        </is>
      </c>
      <c r="I68" s="0" t="inlineStr">
        <is>
          <t>slopes*</t>
        </is>
      </c>
      <c r="L68" s="0" t="inlineStr">
        <is>
          <t>25.9.20</t>
        </is>
      </c>
      <c r="M68" s="0" t="n">
        <v>1</v>
      </c>
      <c r="N68" s="0" t="n">
        <v>1</v>
      </c>
      <c r="O68" s="0" t="n">
        <v>2</v>
      </c>
      <c r="P68" s="0" t="n">
        <v>0</v>
      </c>
      <c r="Q68" s="0" t="n">
        <v>0</v>
      </c>
      <c r="R68" s="0" t="n">
        <v>3</v>
      </c>
      <c r="S68" s="0" t="inlineStr">
        <is>
          <t>a4vzf_a4f_a1b_b2a_a1b_b1f_c_a4b5_a4</t>
        </is>
      </c>
      <c r="T68" s="0" t="inlineStr">
        <is>
          <t>a4vzf</t>
        </is>
      </c>
      <c r="U68" s="0" t="inlineStr">
        <is>
          <t>a4f</t>
        </is>
      </c>
      <c r="V68" s="0" t="inlineStr">
        <is>
          <t>a1b</t>
        </is>
      </c>
      <c r="W68" s="0" t="inlineStr">
        <is>
          <t>b2a</t>
        </is>
      </c>
      <c r="X68" s="0" t="inlineStr">
        <is>
          <t>a1b</t>
        </is>
      </c>
      <c r="Y68" s="0" t="inlineStr">
        <is>
          <t>b1f</t>
        </is>
      </c>
      <c r="Z68" s="0" t="inlineStr">
        <is>
          <t>c</t>
        </is>
      </c>
      <c r="AA68" s="0" t="inlineStr">
        <is>
          <t>a4b5</t>
        </is>
      </c>
      <c r="AB68" s="0" t="inlineStr">
        <is>
          <t>a4</t>
        </is>
      </c>
    </row>
    <row r="69">
      <c r="A69" s="0" t="inlineStr">
        <is>
          <t>Sl65</t>
        </is>
      </c>
      <c r="C69" s="0" t="inlineStr">
        <is>
          <t>Slopes</t>
        </is>
      </c>
      <c r="D69" s="0" t="inlineStr">
        <is>
          <t>Slopes</t>
        </is>
      </c>
      <c r="F69" s="0" t="n">
        <v>48</v>
      </c>
      <c r="G69" s="0" t="inlineStr">
        <is>
          <t>lone</t>
        </is>
      </c>
      <c r="I69" s="0" t="inlineStr">
        <is>
          <t>lone</t>
        </is>
      </c>
      <c r="L69" s="0" t="inlineStr">
        <is>
          <t>3.10.20</t>
        </is>
      </c>
      <c r="M69" s="0" t="n">
        <v>1</v>
      </c>
      <c r="N69" s="0" t="n">
        <v>0</v>
      </c>
      <c r="O69" s="0" t="n">
        <v>0</v>
      </c>
      <c r="P69" s="0" t="n">
        <v>3</v>
      </c>
      <c r="Q69" s="0" t="n">
        <v>0</v>
      </c>
      <c r="R69" s="0" t="n">
        <v>3</v>
      </c>
      <c r="S69" s="0" t="inlineStr">
        <is>
          <t>a1txh_N_a2a_c2a_c2a_b1g_c_a7b5_a2</t>
        </is>
      </c>
      <c r="T69" s="0" t="inlineStr">
        <is>
          <t>a1txh</t>
        </is>
      </c>
      <c r="U69" s="0" t="inlineStr">
        <is>
          <t>N</t>
        </is>
      </c>
      <c r="V69" s="0" t="inlineStr">
        <is>
          <t>a2a</t>
        </is>
      </c>
      <c r="W69" s="0" t="inlineStr">
        <is>
          <t>c2a</t>
        </is>
      </c>
      <c r="X69" s="0" t="inlineStr">
        <is>
          <t>c2a</t>
        </is>
      </c>
      <c r="Y69" s="0" t="inlineStr">
        <is>
          <t>b1g</t>
        </is>
      </c>
      <c r="Z69" s="0" t="inlineStr">
        <is>
          <t>c</t>
        </is>
      </c>
      <c r="AA69" s="0" t="inlineStr">
        <is>
          <t>a7b5</t>
        </is>
      </c>
      <c r="AB69" s="0" t="inlineStr">
        <is>
          <t>a2</t>
        </is>
      </c>
    </row>
    <row r="70">
      <c r="A70" s="0" t="inlineStr">
        <is>
          <t>O66</t>
        </is>
      </c>
      <c r="C70" s="0" t="inlineStr">
        <is>
          <t>Odem</t>
        </is>
      </c>
      <c r="D70" s="0" t="inlineStr">
        <is>
          <t>Odem</t>
        </is>
      </c>
      <c r="E70" s="0" t="inlineStr">
        <is>
          <t>m</t>
        </is>
      </c>
      <c r="F70" s="0" t="inlineStr">
        <is>
          <t>31, omer weiner</t>
        </is>
      </c>
      <c r="G70" s="0" t="inlineStr">
        <is>
          <t>lone</t>
        </is>
      </c>
      <c r="I70" s="0" t="inlineStr">
        <is>
          <t>lone</t>
        </is>
      </c>
      <c r="K70" s="0" t="inlineStr">
        <is>
          <t>massive, light-fur, darker back</t>
        </is>
      </c>
      <c r="L70" s="0" t="inlineStr">
        <is>
          <t>5.12.20</t>
        </is>
      </c>
      <c r="M70" s="0" t="n">
        <v>2</v>
      </c>
      <c r="N70" s="0" t="n">
        <v>0</v>
      </c>
      <c r="O70" s="0" t="n">
        <v>3</v>
      </c>
      <c r="P70" s="0" t="n">
        <v>1</v>
      </c>
      <c r="Q70" s="0" t="n">
        <v>0</v>
      </c>
      <c r="R70" s="0" t="n">
        <v>4</v>
      </c>
      <c r="S70" s="0" t="inlineStr">
        <is>
          <t>d2j_a7l_a2a_b2a_N_c2i_c_a6b5_a4</t>
        </is>
      </c>
      <c r="T70" s="0" t="inlineStr">
        <is>
          <t>d2j</t>
        </is>
      </c>
      <c r="U70" s="0" t="inlineStr">
        <is>
          <t>a7l</t>
        </is>
      </c>
      <c r="V70" s="0" t="inlineStr">
        <is>
          <t>a2a</t>
        </is>
      </c>
      <c r="W70" s="0" t="inlineStr">
        <is>
          <t>b2a</t>
        </is>
      </c>
      <c r="X70" s="0" t="inlineStr">
        <is>
          <t>N</t>
        </is>
      </c>
      <c r="Y70" s="0" t="inlineStr">
        <is>
          <t>c2i</t>
        </is>
      </c>
      <c r="Z70" s="0" t="inlineStr">
        <is>
          <t>c</t>
        </is>
      </c>
      <c r="AA70" s="0" t="inlineStr">
        <is>
          <t>a6b5</t>
        </is>
      </c>
      <c r="AB70" s="0" t="inlineStr">
        <is>
          <t>a4</t>
        </is>
      </c>
    </row>
    <row r="71">
      <c r="A71" s="0" t="inlineStr">
        <is>
          <t>O67</t>
        </is>
      </c>
      <c r="C71" s="0" t="inlineStr">
        <is>
          <t>Odem</t>
        </is>
      </c>
      <c r="D71" s="0" t="inlineStr">
        <is>
          <t>Odem</t>
        </is>
      </c>
      <c r="F71" s="0" t="inlineStr">
        <is>
          <t>31, 33</t>
        </is>
      </c>
      <c r="G71" s="0" t="inlineStr">
        <is>
          <t>pack</t>
        </is>
      </c>
      <c r="I71" s="0" t="inlineStr">
        <is>
          <t>Odem west</t>
        </is>
      </c>
      <c r="L71" s="0" t="inlineStr">
        <is>
          <t>29.8-23.11.20</t>
        </is>
      </c>
      <c r="M71" s="0" t="inlineStr">
        <is>
          <t>2*</t>
        </is>
      </c>
      <c r="N71" s="0" t="n">
        <v>2</v>
      </c>
      <c r="O71" s="0" t="n">
        <v>2</v>
      </c>
      <c r="P71" s="0" t="n">
        <v>0</v>
      </c>
      <c r="Q71" s="0" t="n">
        <v>0</v>
      </c>
      <c r="R71" s="0" t="n">
        <v>4</v>
      </c>
      <c r="S71" s="0" t="inlineStr">
        <is>
          <t>b1i_a2i_N_b2a_a1a_c1i_a1_a4b5_a4</t>
        </is>
      </c>
      <c r="T71" s="0" t="inlineStr">
        <is>
          <t>b1i</t>
        </is>
      </c>
      <c r="U71" s="0" t="inlineStr">
        <is>
          <t>a2i</t>
        </is>
      </c>
      <c r="V71" s="0" t="inlineStr">
        <is>
          <t>N</t>
        </is>
      </c>
      <c r="W71" s="0" t="inlineStr">
        <is>
          <t>b2a</t>
        </is>
      </c>
      <c r="X71" s="0" t="inlineStr">
        <is>
          <t>a1a</t>
        </is>
      </c>
      <c r="Y71" s="0" t="inlineStr">
        <is>
          <t>c1i</t>
        </is>
      </c>
      <c r="Z71" s="0" t="inlineStr">
        <is>
          <t>a1</t>
        </is>
      </c>
      <c r="AA71" s="0" t="inlineStr">
        <is>
          <t>a4b5</t>
        </is>
      </c>
      <c r="AB71" s="0" t="inlineStr">
        <is>
          <t>a4</t>
        </is>
      </c>
    </row>
    <row r="72">
      <c r="A72" s="0" t="inlineStr">
        <is>
          <t>O68</t>
        </is>
      </c>
      <c r="C72" s="0" t="inlineStr">
        <is>
          <t>Odem</t>
        </is>
      </c>
      <c r="D72" s="0" t="inlineStr">
        <is>
          <t>Odem</t>
        </is>
      </c>
      <c r="F72" s="0" t="n">
        <v>33</v>
      </c>
      <c r="G72" s="0" t="inlineStr">
        <is>
          <t>pack</t>
        </is>
      </c>
      <c r="I72" s="0" t="inlineStr">
        <is>
          <t>Odem west</t>
        </is>
      </c>
      <c r="K72" s="0" t="inlineStr">
        <is>
          <t>dark fur, light brows, light shape on the cheek</t>
        </is>
      </c>
      <c r="L72" s="0" t="inlineStr">
        <is>
          <t>29.8.20</t>
        </is>
      </c>
      <c r="M72" s="0" t="n">
        <v>1</v>
      </c>
      <c r="N72" s="0" t="n">
        <v>3</v>
      </c>
      <c r="O72" s="0" t="n">
        <v>0</v>
      </c>
      <c r="P72" s="0" t="n">
        <v>0</v>
      </c>
      <c r="Q72" s="0" t="n">
        <v>0</v>
      </c>
      <c r="R72" s="0" t="n">
        <v>3</v>
      </c>
      <c r="S72" s="0" t="inlineStr">
        <is>
          <t>a5uxf_a1f_b_N_N_a6f_a1_a3b5_a2</t>
        </is>
      </c>
      <c r="T72" s="0" t="inlineStr">
        <is>
          <t>a5uxf</t>
        </is>
      </c>
      <c r="U72" s="0" t="inlineStr">
        <is>
          <t>a1f</t>
        </is>
      </c>
      <c r="V72" s="0" t="inlineStr">
        <is>
          <t>b</t>
        </is>
      </c>
      <c r="W72" s="0" t="inlineStr">
        <is>
          <t>N</t>
        </is>
      </c>
      <c r="X72" s="0" t="inlineStr">
        <is>
          <t>N</t>
        </is>
      </c>
      <c r="Y72" s="0" t="inlineStr">
        <is>
          <t>a6f</t>
        </is>
      </c>
      <c r="Z72" s="0" t="inlineStr">
        <is>
          <t>a1</t>
        </is>
      </c>
      <c r="AA72" s="0" t="inlineStr">
        <is>
          <t>a3b5</t>
        </is>
      </c>
      <c r="AB72" s="0" t="inlineStr">
        <is>
          <t>a2</t>
        </is>
      </c>
    </row>
    <row r="73">
      <c r="A73" s="0" t="inlineStr">
        <is>
          <t>O69</t>
        </is>
      </c>
      <c r="C73" s="0" t="inlineStr">
        <is>
          <t>Odem</t>
        </is>
      </c>
      <c r="D73" s="0" t="inlineStr">
        <is>
          <t>Odem</t>
        </is>
      </c>
      <c r="F73" s="0" t="n">
        <v>33</v>
      </c>
      <c r="G73" s="0" t="inlineStr">
        <is>
          <t>pack</t>
        </is>
      </c>
      <c r="I73" s="0" t="inlineStr">
        <is>
          <t>Odem west</t>
        </is>
      </c>
      <c r="K73" s="0" t="inlineStr">
        <is>
          <t>golden fur</t>
        </is>
      </c>
      <c r="L73" s="0" t="inlineStr">
        <is>
          <t>29.8.20</t>
        </is>
      </c>
      <c r="M73" s="0" t="n">
        <v>1</v>
      </c>
      <c r="N73" s="0" t="n">
        <v>0</v>
      </c>
      <c r="O73" s="0" t="n">
        <v>2</v>
      </c>
      <c r="P73" s="0" t="n">
        <v>0</v>
      </c>
      <c r="Q73" s="0" t="n">
        <v>1</v>
      </c>
      <c r="R73" s="0" t="n">
        <v>3</v>
      </c>
      <c r="S73" s="0" t="inlineStr">
        <is>
          <t>d2k_a1k_b_d_a1a_b2j_c_a5b5_a4</t>
        </is>
      </c>
      <c r="T73" s="0" t="inlineStr">
        <is>
          <t>d2k</t>
        </is>
      </c>
      <c r="U73" s="0" t="inlineStr">
        <is>
          <t>a1k</t>
        </is>
      </c>
      <c r="V73" s="0" t="inlineStr">
        <is>
          <t>b</t>
        </is>
      </c>
      <c r="W73" s="0" t="inlineStr">
        <is>
          <t>d</t>
        </is>
      </c>
      <c r="X73" s="0" t="inlineStr">
        <is>
          <t>a1a</t>
        </is>
      </c>
      <c r="Y73" s="0" t="inlineStr">
        <is>
          <t>b2j</t>
        </is>
      </c>
      <c r="Z73" s="0" t="inlineStr">
        <is>
          <t>c</t>
        </is>
      </c>
      <c r="AA73" s="0" t="inlineStr">
        <is>
          <t>a5b5</t>
        </is>
      </c>
      <c r="AB73" s="0" t="inlineStr">
        <is>
          <t>a4</t>
        </is>
      </c>
    </row>
    <row r="74">
      <c r="A74" s="0" t="inlineStr">
        <is>
          <t>O70</t>
        </is>
      </c>
      <c r="C74" s="0" t="inlineStr">
        <is>
          <t>Odem</t>
        </is>
      </c>
      <c r="D74" s="0" t="inlineStr">
        <is>
          <t>Odem</t>
        </is>
      </c>
      <c r="F74" s="0" t="n">
        <v>33</v>
      </c>
      <c r="G74" s="0" t="inlineStr">
        <is>
          <t>pack</t>
        </is>
      </c>
      <c r="I74" s="0" t="inlineStr">
        <is>
          <t>Odem west</t>
        </is>
      </c>
      <c r="L74" s="0" t="inlineStr">
        <is>
          <t>28.9-29.11.20</t>
        </is>
      </c>
      <c r="M74" s="0" t="n">
        <v>1</v>
      </c>
      <c r="N74" s="0" t="n">
        <v>0</v>
      </c>
      <c r="O74" s="0" t="n">
        <v>1</v>
      </c>
      <c r="P74" s="0" t="n">
        <v>2</v>
      </c>
      <c r="Q74" s="0" t="n">
        <v>0</v>
      </c>
      <c r="R74" s="0" t="n">
        <v>3</v>
      </c>
      <c r="S74" s="0" t="inlineStr">
        <is>
          <t>c1yf_a5f_Ra2bLb_b2b_a1b_c1f_a1_a3b3_a2</t>
        </is>
      </c>
      <c r="T74" s="0" t="inlineStr">
        <is>
          <t>c1yf</t>
        </is>
      </c>
      <c r="U74" s="0" t="inlineStr">
        <is>
          <t>a5f</t>
        </is>
      </c>
      <c r="V74" s="0" t="inlineStr">
        <is>
          <t>Ra2bLb</t>
        </is>
      </c>
      <c r="W74" s="0" t="inlineStr">
        <is>
          <t>b2b</t>
        </is>
      </c>
      <c r="X74" s="0" t="inlineStr">
        <is>
          <t>a1b</t>
        </is>
      </c>
      <c r="Y74" s="0" t="inlineStr">
        <is>
          <t>c1f</t>
        </is>
      </c>
      <c r="Z74" s="0" t="inlineStr">
        <is>
          <t>a1</t>
        </is>
      </c>
      <c r="AA74" s="0" t="inlineStr">
        <is>
          <t>a3b3</t>
        </is>
      </c>
      <c r="AB74" s="0" t="inlineStr">
        <is>
          <t>a2</t>
        </is>
      </c>
    </row>
    <row r="75">
      <c r="A75" s="0" t="inlineStr">
        <is>
          <t>O71</t>
        </is>
      </c>
      <c r="C75" s="0" t="inlineStr">
        <is>
          <t>Odem</t>
        </is>
      </c>
      <c r="D75" s="0" t="inlineStr">
        <is>
          <t>Odem</t>
        </is>
      </c>
      <c r="F75" s="0" t="n">
        <v>33</v>
      </c>
      <c r="G75" s="0" t="inlineStr">
        <is>
          <t>pack</t>
        </is>
      </c>
      <c r="I75" s="0" t="inlineStr">
        <is>
          <t>Odem west</t>
        </is>
      </c>
      <c r="L75" s="0" t="inlineStr">
        <is>
          <t>28.9-11.12.20</t>
        </is>
      </c>
      <c r="M75" s="0" t="n">
        <v>1</v>
      </c>
      <c r="N75" s="0" t="n">
        <v>0</v>
      </c>
      <c r="O75" s="0" t="n">
        <v>2</v>
      </c>
      <c r="P75" s="0" t="n">
        <v>0</v>
      </c>
      <c r="Q75" s="0" t="n">
        <v>0</v>
      </c>
      <c r="R75" s="0" t="n">
        <v>2</v>
      </c>
      <c r="S75" s="0" t="inlineStr">
        <is>
          <t>b4i_a8i_b_b2b_a1b_c1g_a1_a4b5_a2</t>
        </is>
      </c>
      <c r="T75" s="0" t="inlineStr">
        <is>
          <t>b4i</t>
        </is>
      </c>
      <c r="U75" s="0" t="inlineStr">
        <is>
          <t>a8i</t>
        </is>
      </c>
      <c r="V75" s="0" t="inlineStr">
        <is>
          <t>b</t>
        </is>
      </c>
      <c r="W75" s="0" t="inlineStr">
        <is>
          <t>b2b</t>
        </is>
      </c>
      <c r="X75" s="0" t="inlineStr">
        <is>
          <t>a1b</t>
        </is>
      </c>
      <c r="Y75" s="0" t="inlineStr">
        <is>
          <t>c1g</t>
        </is>
      </c>
      <c r="Z75" s="0" t="inlineStr">
        <is>
          <t>a1</t>
        </is>
      </c>
      <c r="AA75" s="0" t="inlineStr">
        <is>
          <t>a4b5</t>
        </is>
      </c>
      <c r="AB75" s="0" t="inlineStr">
        <is>
          <t>a2</t>
        </is>
      </c>
    </row>
    <row r="76">
      <c r="A76" s="0" t="inlineStr">
        <is>
          <t>O72</t>
        </is>
      </c>
      <c r="C76" s="0" t="inlineStr">
        <is>
          <t>Odem</t>
        </is>
      </c>
      <c r="D76" s="0" t="inlineStr">
        <is>
          <t>Odem</t>
        </is>
      </c>
      <c r="F76" s="0" t="n">
        <v>33</v>
      </c>
      <c r="G76" s="0" t="inlineStr">
        <is>
          <t>pack</t>
        </is>
      </c>
      <c r="I76" s="0" t="inlineStr">
        <is>
          <t>Odem west</t>
        </is>
      </c>
      <c r="L76" s="0" t="inlineStr">
        <is>
          <t>28.9.20</t>
        </is>
      </c>
      <c r="M76" s="0" t="n">
        <v>1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2</v>
      </c>
      <c r="S76" s="0" t="inlineStr">
        <is>
          <t>a1wyi_a4i_b_d_N_c3i_b1_a3b5_a2</t>
        </is>
      </c>
      <c r="T76" s="0" t="inlineStr">
        <is>
          <t>a1wyi</t>
        </is>
      </c>
      <c r="U76" s="0" t="inlineStr">
        <is>
          <t>a4i</t>
        </is>
      </c>
      <c r="V76" s="0" t="inlineStr">
        <is>
          <t>b</t>
        </is>
      </c>
      <c r="W76" s="0" t="inlineStr">
        <is>
          <t>d</t>
        </is>
      </c>
      <c r="X76" s="0" t="inlineStr">
        <is>
          <t>N</t>
        </is>
      </c>
      <c r="Y76" s="0" t="inlineStr">
        <is>
          <t>c3i</t>
        </is>
      </c>
      <c r="Z76" s="0" t="inlineStr">
        <is>
          <t>b1</t>
        </is>
      </c>
      <c r="AA76" s="0" t="inlineStr">
        <is>
          <t>a3b5</t>
        </is>
      </c>
      <c r="AB76" s="0" t="inlineStr">
        <is>
          <t>a2</t>
        </is>
      </c>
    </row>
    <row r="77">
      <c r="A77" s="0" t="inlineStr">
        <is>
          <t>O73</t>
        </is>
      </c>
      <c r="C77" s="0" t="inlineStr">
        <is>
          <t>Odem</t>
        </is>
      </c>
      <c r="D77" s="0" t="inlineStr">
        <is>
          <t>Odem</t>
        </is>
      </c>
      <c r="F77" s="0" t="n">
        <v>33</v>
      </c>
      <c r="G77" s="0" t="inlineStr">
        <is>
          <t>pack*</t>
        </is>
      </c>
      <c r="I77" s="0" t="inlineStr">
        <is>
          <t>Odem west*</t>
        </is>
      </c>
      <c r="K77" s="0" t="inlineStr">
        <is>
          <t>dark fur, 2 light circles on the cheek, dark mark on front-right leg</t>
        </is>
      </c>
      <c r="L77" s="0" t="inlineStr">
        <is>
          <t>8.10.20</t>
        </is>
      </c>
      <c r="M77" s="0" t="n">
        <v>2</v>
      </c>
      <c r="N77" s="0" t="n">
        <v>1</v>
      </c>
      <c r="O77" s="0" t="n">
        <v>4</v>
      </c>
      <c r="P77" s="0" t="n">
        <v>0</v>
      </c>
      <c r="Q77" s="0" t="n">
        <v>0</v>
      </c>
      <c r="R77" s="0" t="n">
        <v>5</v>
      </c>
      <c r="S77" s="0" t="inlineStr">
        <is>
          <t>c2xe_a5e_N_b2b_N_N_N_a2b3_a3</t>
        </is>
      </c>
      <c r="T77" s="0" t="inlineStr">
        <is>
          <t>c2xe</t>
        </is>
      </c>
      <c r="U77" s="0" t="inlineStr">
        <is>
          <t>a5e</t>
        </is>
      </c>
      <c r="V77" s="0" t="inlineStr">
        <is>
          <t>N</t>
        </is>
      </c>
      <c r="W77" s="0" t="inlineStr">
        <is>
          <t>b2b</t>
        </is>
      </c>
      <c r="X77" s="0" t="inlineStr">
        <is>
          <t>N</t>
        </is>
      </c>
      <c r="Y77" s="0" t="inlineStr">
        <is>
          <t>N</t>
        </is>
      </c>
      <c r="Z77" s="0" t="inlineStr">
        <is>
          <t>N</t>
        </is>
      </c>
      <c r="AA77" s="0" t="inlineStr">
        <is>
          <t>a2b3</t>
        </is>
      </c>
      <c r="AB77" s="0" t="inlineStr">
        <is>
          <t>a3</t>
        </is>
      </c>
    </row>
    <row r="78">
      <c r="A78" s="0" t="inlineStr">
        <is>
          <t>O74</t>
        </is>
      </c>
      <c r="C78" s="0" t="inlineStr">
        <is>
          <t>Odem</t>
        </is>
      </c>
      <c r="D78" s="0" t="inlineStr">
        <is>
          <t>Odem</t>
        </is>
      </c>
      <c r="F78" s="0" t="n">
        <v>34</v>
      </c>
      <c r="G78" s="0" t="inlineStr">
        <is>
          <t>group</t>
        </is>
      </c>
      <c r="I78" s="0" t="inlineStr">
        <is>
          <t>Odem South</t>
        </is>
      </c>
      <c r="L78" s="0" t="inlineStr">
        <is>
          <t>28.9-13.11.20</t>
        </is>
      </c>
      <c r="M78" s="0" t="n">
        <v>1</v>
      </c>
      <c r="N78" s="0" t="n">
        <v>4</v>
      </c>
      <c r="O78" s="0" t="n">
        <v>0</v>
      </c>
      <c r="P78" s="0" t="n">
        <v>0</v>
      </c>
      <c r="Q78" s="0" t="n">
        <v>0</v>
      </c>
      <c r="R78" s="0" t="n">
        <v>4</v>
      </c>
      <c r="S78" s="0" t="inlineStr">
        <is>
          <t>c1ze_a5e_a2a_c1b_c1b_a2e_N_a1_a3</t>
        </is>
      </c>
      <c r="T78" s="0" t="inlineStr">
        <is>
          <t>c1ze</t>
        </is>
      </c>
      <c r="U78" s="0" t="inlineStr">
        <is>
          <t>a5e</t>
        </is>
      </c>
      <c r="V78" s="0" t="inlineStr">
        <is>
          <t>a2a</t>
        </is>
      </c>
      <c r="W78" s="0" t="inlineStr">
        <is>
          <t>c1b</t>
        </is>
      </c>
      <c r="X78" s="0" t="inlineStr">
        <is>
          <t>c1b</t>
        </is>
      </c>
      <c r="Y78" s="0" t="inlineStr">
        <is>
          <t>a2e</t>
        </is>
      </c>
      <c r="Z78" s="0" t="inlineStr">
        <is>
          <t>N</t>
        </is>
      </c>
      <c r="AA78" s="0" t="inlineStr">
        <is>
          <t>a1</t>
        </is>
      </c>
      <c r="AB78" s="0" t="inlineStr">
        <is>
          <t>a3</t>
        </is>
      </c>
    </row>
    <row r="79">
      <c r="A79" s="0" t="inlineStr">
        <is>
          <t>O75</t>
        </is>
      </c>
      <c r="C79" s="0" t="inlineStr">
        <is>
          <t>Odem</t>
        </is>
      </c>
      <c r="D79" s="0" t="inlineStr">
        <is>
          <t>Odem</t>
        </is>
      </c>
      <c r="F79" s="0" t="n">
        <v>34</v>
      </c>
      <c r="G79" s="0" t="inlineStr">
        <is>
          <t>group</t>
        </is>
      </c>
      <c r="I79" s="0" t="inlineStr">
        <is>
          <t>Odem South</t>
        </is>
      </c>
      <c r="L79" s="0" t="inlineStr">
        <is>
          <t>28.9-7.12.20</t>
        </is>
      </c>
      <c r="M79" s="0" t="n">
        <v>2</v>
      </c>
      <c r="N79" s="0" t="n">
        <v>3</v>
      </c>
      <c r="O79" s="0" t="n">
        <v>0</v>
      </c>
      <c r="P79" s="0" t="n">
        <v>0</v>
      </c>
      <c r="Q79" s="0" t="n">
        <v>2</v>
      </c>
      <c r="R79" s="0" t="n">
        <v>5</v>
      </c>
      <c r="S79" s="0" t="inlineStr">
        <is>
          <t>ae_N_a3b_c1b_c1b_e_N_a1_a3</t>
        </is>
      </c>
      <c r="T79" s="0" t="inlineStr">
        <is>
          <t>ae</t>
        </is>
      </c>
      <c r="U79" s="0" t="inlineStr">
        <is>
          <t>N</t>
        </is>
      </c>
      <c r="V79" s="0" t="inlineStr">
        <is>
          <t>a3b</t>
        </is>
      </c>
      <c r="W79" s="0" t="inlineStr">
        <is>
          <t>c1b</t>
        </is>
      </c>
      <c r="X79" s="0" t="inlineStr">
        <is>
          <t>c1b</t>
        </is>
      </c>
      <c r="Y79" s="0" t="inlineStr">
        <is>
          <t>e</t>
        </is>
      </c>
      <c r="Z79" s="0" t="inlineStr">
        <is>
          <t>N</t>
        </is>
      </c>
      <c r="AA79" s="0" t="inlineStr">
        <is>
          <t>a1</t>
        </is>
      </c>
      <c r="AB79" s="0" t="inlineStr">
        <is>
          <t>a3</t>
        </is>
      </c>
    </row>
    <row r="80">
      <c r="A80" s="0" t="inlineStr">
        <is>
          <t>O76</t>
        </is>
      </c>
      <c r="C80" s="0" t="inlineStr">
        <is>
          <t>Odem</t>
        </is>
      </c>
      <c r="D80" s="0" t="inlineStr">
        <is>
          <t>Odem</t>
        </is>
      </c>
      <c r="F80" s="0" t="inlineStr">
        <is>
          <t>34, 35</t>
        </is>
      </c>
      <c r="G80" s="0" t="inlineStr">
        <is>
          <t>pack</t>
        </is>
      </c>
      <c r="I80" s="0" t="inlineStr">
        <is>
          <t>Odem East</t>
        </is>
      </c>
      <c r="K80" s="0" t="inlineStr">
        <is>
          <t>light gray-yellow fur</t>
        </is>
      </c>
      <c r="L80" s="0" t="inlineStr">
        <is>
          <t>22.10-12.12.20</t>
        </is>
      </c>
      <c r="M80" s="0" t="n">
        <v>1</v>
      </c>
      <c r="N80" s="0" t="n">
        <v>0</v>
      </c>
      <c r="O80" s="0" t="n">
        <v>3</v>
      </c>
      <c r="P80" s="0" t="n">
        <v>0</v>
      </c>
      <c r="Q80" s="0" t="n">
        <v>0</v>
      </c>
      <c r="R80" s="0" t="n">
        <v>3</v>
      </c>
      <c r="S80" s="0" t="inlineStr">
        <is>
          <t>b1i_a10i_N_N_N_c1f_c_a4_a2</t>
        </is>
      </c>
      <c r="T80" s="0" t="inlineStr">
        <is>
          <t>b1i</t>
        </is>
      </c>
      <c r="U80" s="0" t="inlineStr">
        <is>
          <t>a10i</t>
        </is>
      </c>
      <c r="V80" s="0" t="inlineStr">
        <is>
          <t>N</t>
        </is>
      </c>
      <c r="W80" s="0" t="inlineStr">
        <is>
          <t>N</t>
        </is>
      </c>
      <c r="X80" s="0" t="inlineStr">
        <is>
          <t>N</t>
        </is>
      </c>
      <c r="Y80" s="0" t="inlineStr">
        <is>
          <t>c1f</t>
        </is>
      </c>
      <c r="Z80" s="0" t="inlineStr">
        <is>
          <t>c</t>
        </is>
      </c>
      <c r="AA80" s="0" t="inlineStr">
        <is>
          <t>a4</t>
        </is>
      </c>
      <c r="AB80" s="0" t="inlineStr">
        <is>
          <t>a2</t>
        </is>
      </c>
    </row>
    <row r="81">
      <c r="A81" s="0" t="inlineStr">
        <is>
          <t>O77</t>
        </is>
      </c>
      <c r="C81" s="0" t="inlineStr">
        <is>
          <t>Odem</t>
        </is>
      </c>
      <c r="D81" s="0" t="inlineStr">
        <is>
          <t>Odem</t>
        </is>
      </c>
      <c r="F81" s="0" t="n">
        <v>34</v>
      </c>
      <c r="G81" s="0" t="inlineStr">
        <is>
          <t>unknown</t>
        </is>
      </c>
      <c r="I81" s="0" t="inlineStr">
        <is>
          <t>indeterminate</t>
        </is>
      </c>
      <c r="L81" s="0" t="inlineStr">
        <is>
          <t>28.11.20</t>
        </is>
      </c>
      <c r="M81" s="0" t="n">
        <v>1</v>
      </c>
      <c r="N81" s="0" t="n">
        <v>3</v>
      </c>
      <c r="O81" s="0" t="n">
        <v>3</v>
      </c>
      <c r="P81" s="0" t="n">
        <v>1</v>
      </c>
      <c r="Q81" s="0" t="n">
        <v>0</v>
      </c>
      <c r="R81" s="0" t="n">
        <v>7</v>
      </c>
      <c r="S81" s="0" t="inlineStr">
        <is>
          <t>Ra3vzfLb1f_a2f_a2b_b2b_a1b_b1g_c_a4_a2</t>
        </is>
      </c>
      <c r="T81" s="0" t="inlineStr">
        <is>
          <t>Ra3vzfLb1f</t>
        </is>
      </c>
      <c r="U81" s="0" t="inlineStr">
        <is>
          <t>a2f</t>
        </is>
      </c>
      <c r="V81" s="0" t="inlineStr">
        <is>
          <t>a2b</t>
        </is>
      </c>
      <c r="W81" s="0" t="inlineStr">
        <is>
          <t>b2b</t>
        </is>
      </c>
      <c r="X81" s="0" t="inlineStr">
        <is>
          <t>a1b</t>
        </is>
      </c>
      <c r="Y81" s="0" t="inlineStr">
        <is>
          <t>b1g</t>
        </is>
      </c>
      <c r="Z81" s="0" t="inlineStr">
        <is>
          <t>c</t>
        </is>
      </c>
      <c r="AA81" s="0" t="inlineStr">
        <is>
          <t>a4</t>
        </is>
      </c>
      <c r="AB81" s="0" t="inlineStr">
        <is>
          <t>a2</t>
        </is>
      </c>
    </row>
    <row r="82">
      <c r="A82" s="0" t="inlineStr">
        <is>
          <t>O78</t>
        </is>
      </c>
      <c r="C82" s="0" t="inlineStr">
        <is>
          <t>Odem</t>
        </is>
      </c>
      <c r="D82" s="0" t="inlineStr">
        <is>
          <t>Odem</t>
        </is>
      </c>
      <c r="F82" s="0" t="n">
        <v>35</v>
      </c>
      <c r="G82" s="0" t="inlineStr">
        <is>
          <t>pack</t>
        </is>
      </c>
      <c r="I82" s="0" t="inlineStr">
        <is>
          <t>Odem East</t>
        </is>
      </c>
      <c r="L82" s="0" t="inlineStr">
        <is>
          <t>7.11-6.12.20</t>
        </is>
      </c>
      <c r="M82" s="0" t="inlineStr">
        <is>
          <t>3*</t>
        </is>
      </c>
      <c r="N82" s="0" t="n">
        <v>2</v>
      </c>
      <c r="O82" s="0" t="n">
        <v>5</v>
      </c>
      <c r="P82" s="0" t="n">
        <v>0</v>
      </c>
      <c r="Q82" s="0" t="n">
        <v>0</v>
      </c>
      <c r="R82" s="0" t="n">
        <v>7</v>
      </c>
      <c r="S82" s="0" t="inlineStr">
        <is>
          <t>Ra4vxiLa4txi_Ra7iLa10_a4a_P_N_c1g_P_a4b2_a3</t>
        </is>
      </c>
      <c r="T82" s="0" t="inlineStr">
        <is>
          <t>Ra4vxiLa4txi</t>
        </is>
      </c>
      <c r="U82" s="0" t="inlineStr">
        <is>
          <t>Ra7iLa10</t>
        </is>
      </c>
      <c r="V82" s="0" t="inlineStr">
        <is>
          <t>a4a</t>
        </is>
      </c>
      <c r="W82" s="0" t="inlineStr">
        <is>
          <t>P</t>
        </is>
      </c>
      <c r="X82" s="0" t="inlineStr">
        <is>
          <t>N</t>
        </is>
      </c>
      <c r="Y82" s="0" t="inlineStr">
        <is>
          <t>c1g</t>
        </is>
      </c>
      <c r="Z82" s="0" t="inlineStr">
        <is>
          <t>P</t>
        </is>
      </c>
      <c r="AA82" s="0" t="inlineStr">
        <is>
          <t>a4b2</t>
        </is>
      </c>
      <c r="AB82" s="0" t="inlineStr">
        <is>
          <t>a3</t>
        </is>
      </c>
    </row>
    <row r="83">
      <c r="A83" s="0" t="inlineStr">
        <is>
          <t>O80</t>
        </is>
      </c>
      <c r="C83" s="0" t="inlineStr">
        <is>
          <t>Odem</t>
        </is>
      </c>
      <c r="D83" s="0" t="inlineStr">
        <is>
          <t>Odem</t>
        </is>
      </c>
      <c r="F83" s="0" t="n">
        <v>35</v>
      </c>
      <c r="G83" s="0" t="inlineStr">
        <is>
          <t>pack</t>
        </is>
      </c>
      <c r="I83" s="0" t="inlineStr">
        <is>
          <t>Odem East</t>
        </is>
      </c>
      <c r="L83" s="0" t="inlineStr">
        <is>
          <t>11.10.20</t>
        </is>
      </c>
      <c r="M83" s="0" t="n">
        <v>1</v>
      </c>
      <c r="N83" s="0" t="n">
        <v>3</v>
      </c>
      <c r="O83" s="0" t="n">
        <v>3</v>
      </c>
      <c r="P83" s="0" t="n">
        <v>0</v>
      </c>
      <c r="Q83" s="0" t="n">
        <v>0</v>
      </c>
      <c r="R83" s="0" t="n">
        <v>6</v>
      </c>
      <c r="S83" s="0" t="inlineStr">
        <is>
          <t>b3k_a1k_b_d_a1a_b1j_c_a5b5_a1</t>
        </is>
      </c>
      <c r="T83" s="0" t="inlineStr">
        <is>
          <t>b3k</t>
        </is>
      </c>
      <c r="U83" s="0" t="inlineStr">
        <is>
          <t>a1k</t>
        </is>
      </c>
      <c r="V83" s="0" t="inlineStr">
        <is>
          <t>b</t>
        </is>
      </c>
      <c r="W83" s="0" t="inlineStr">
        <is>
          <t>d</t>
        </is>
      </c>
      <c r="X83" s="0" t="inlineStr">
        <is>
          <t>a1a</t>
        </is>
      </c>
      <c r="Y83" s="0" t="inlineStr">
        <is>
          <t>b1j</t>
        </is>
      </c>
      <c r="Z83" s="0" t="inlineStr">
        <is>
          <t>c</t>
        </is>
      </c>
      <c r="AA83" s="0" t="inlineStr">
        <is>
          <t>a5b5</t>
        </is>
      </c>
      <c r="AB83" s="0" t="inlineStr">
        <is>
          <t>a1</t>
        </is>
      </c>
    </row>
    <row r="84">
      <c r="A84" s="0" t="inlineStr">
        <is>
          <t>O81</t>
        </is>
      </c>
      <c r="C84" s="0" t="inlineStr">
        <is>
          <t>Odem</t>
        </is>
      </c>
      <c r="D84" s="0" t="inlineStr">
        <is>
          <t>Odem</t>
        </is>
      </c>
      <c r="F84" s="0" t="n">
        <v>35</v>
      </c>
      <c r="G84" s="0" t="inlineStr">
        <is>
          <t>pack</t>
        </is>
      </c>
      <c r="I84" s="0" t="inlineStr">
        <is>
          <t>Odem East</t>
        </is>
      </c>
      <c r="L84" s="0" t="inlineStr">
        <is>
          <t>13.11.20</t>
        </is>
      </c>
      <c r="M84" s="0" t="n">
        <v>1</v>
      </c>
      <c r="N84" s="0" t="n">
        <v>0</v>
      </c>
      <c r="O84" s="0" t="n">
        <v>3</v>
      </c>
      <c r="P84" s="0" t="n">
        <v>0</v>
      </c>
      <c r="Q84" s="0" t="n">
        <v>0</v>
      </c>
      <c r="R84" s="0" t="n">
        <v>3</v>
      </c>
      <c r="S84" s="0" t="inlineStr">
        <is>
          <t>a2vye_a3e_P_b2b_a1b_a3f_a1_a3_a3</t>
        </is>
      </c>
      <c r="T84" s="0" t="inlineStr">
        <is>
          <t>a2vye</t>
        </is>
      </c>
      <c r="U84" s="0" t="inlineStr">
        <is>
          <t>a3e</t>
        </is>
      </c>
      <c r="V84" s="0" t="inlineStr">
        <is>
          <t>P</t>
        </is>
      </c>
      <c r="W84" s="0" t="inlineStr">
        <is>
          <t>b2b</t>
        </is>
      </c>
      <c r="X84" s="0" t="inlineStr">
        <is>
          <t>a1b</t>
        </is>
      </c>
      <c r="Y84" s="0" t="inlineStr">
        <is>
          <t>a3f</t>
        </is>
      </c>
      <c r="Z84" s="0" t="inlineStr">
        <is>
          <t>a1</t>
        </is>
      </c>
      <c r="AA84" s="0" t="inlineStr">
        <is>
          <t>a3</t>
        </is>
      </c>
      <c r="AB84" s="0" t="inlineStr">
        <is>
          <t>a3</t>
        </is>
      </c>
    </row>
    <row r="85">
      <c r="A85" s="0" t="inlineStr">
        <is>
          <t>O82</t>
        </is>
      </c>
      <c r="C85" s="0" t="inlineStr">
        <is>
          <t>Odem</t>
        </is>
      </c>
      <c r="D85" s="0" t="inlineStr">
        <is>
          <t>Odem</t>
        </is>
      </c>
      <c r="F85" s="0" t="inlineStr">
        <is>
          <t>35, 32</t>
        </is>
      </c>
      <c r="G85" s="0" t="inlineStr">
        <is>
          <t>pack</t>
        </is>
      </c>
      <c r="I85" s="0" t="inlineStr">
        <is>
          <t>Odem East</t>
        </is>
      </c>
      <c r="K85" s="0" t="inlineStr">
        <is>
          <t>light beige fur, dog-like features</t>
        </is>
      </c>
      <c r="L85" s="0" t="inlineStr">
        <is>
          <t>11-20.11.20</t>
        </is>
      </c>
      <c r="M85" s="0" t="n">
        <v>2</v>
      </c>
      <c r="N85" s="0" t="n">
        <v>0</v>
      </c>
      <c r="O85" s="0" t="n">
        <v>3</v>
      </c>
      <c r="P85" s="0" t="n">
        <v>1</v>
      </c>
      <c r="Q85" s="0" t="n">
        <v>0</v>
      </c>
      <c r="R85" s="0" t="n">
        <v>4</v>
      </c>
      <c r="S85" s="0" t="inlineStr">
        <is>
          <t>b2l_N_Pa_N_dl_c_c_a8_a1</t>
        </is>
      </c>
      <c r="T85" s="0" t="inlineStr">
        <is>
          <t>b2l</t>
        </is>
      </c>
      <c r="U85" s="0" t="inlineStr">
        <is>
          <t>N</t>
        </is>
      </c>
      <c r="V85" s="0" t="inlineStr">
        <is>
          <t>Pa</t>
        </is>
      </c>
      <c r="W85" s="0" t="inlineStr">
        <is>
          <t>N</t>
        </is>
      </c>
      <c r="X85" s="0" t="inlineStr">
        <is>
          <t>dl</t>
        </is>
      </c>
      <c r="Y85" s="0" t="inlineStr">
        <is>
          <t>c</t>
        </is>
      </c>
      <c r="Z85" s="0" t="inlineStr">
        <is>
          <t>c</t>
        </is>
      </c>
      <c r="AA85" s="0" t="inlineStr">
        <is>
          <t>a8</t>
        </is>
      </c>
      <c r="AB85" s="0" t="inlineStr">
        <is>
          <t>a1</t>
        </is>
      </c>
    </row>
    <row r="86">
      <c r="A86" s="0" t="inlineStr">
        <is>
          <t>Sn83</t>
        </is>
      </c>
      <c r="C86" s="0" t="inlineStr">
        <is>
          <t>Snir</t>
        </is>
      </c>
      <c r="D86" s="0" t="inlineStr">
        <is>
          <t>Snir</t>
        </is>
      </c>
      <c r="F86" s="0" t="n">
        <v>56</v>
      </c>
      <c r="G86" s="0" t="inlineStr">
        <is>
          <t>lone</t>
        </is>
      </c>
      <c r="I86" s="0" t="inlineStr">
        <is>
          <t>lone</t>
        </is>
      </c>
      <c r="L86" s="0" t="inlineStr">
        <is>
          <t>29.11.20</t>
        </is>
      </c>
      <c r="M86" s="0" t="n">
        <v>1</v>
      </c>
      <c r="N86" s="0" t="n">
        <v>2</v>
      </c>
      <c r="O86" s="0" t="n">
        <v>0</v>
      </c>
      <c r="P86" s="0" t="n">
        <v>0</v>
      </c>
      <c r="Q86" s="0" t="n">
        <v>3</v>
      </c>
      <c r="R86" s="0" t="n">
        <v>5</v>
      </c>
      <c r="S86" s="0" t="inlineStr">
        <is>
          <t>b3i_a7j_N_N_N_b2g_c_a5b3_a4</t>
        </is>
      </c>
      <c r="T86" s="0" t="inlineStr">
        <is>
          <t>b3i</t>
        </is>
      </c>
      <c r="U86" s="0" t="inlineStr">
        <is>
          <t>a7j</t>
        </is>
      </c>
      <c r="V86" s="0" t="inlineStr">
        <is>
          <t>N</t>
        </is>
      </c>
      <c r="W86" s="0" t="inlineStr">
        <is>
          <t>N</t>
        </is>
      </c>
      <c r="X86" s="0" t="inlineStr">
        <is>
          <t>N</t>
        </is>
      </c>
      <c r="Y86" s="0" t="inlineStr">
        <is>
          <t>b2g</t>
        </is>
      </c>
      <c r="Z86" s="0" t="inlineStr">
        <is>
          <t>c</t>
        </is>
      </c>
      <c r="AA86" s="0" t="inlineStr">
        <is>
          <t>a5b3</t>
        </is>
      </c>
      <c r="AB86" s="0" t="inlineStr">
        <is>
          <t>a4</t>
        </is>
      </c>
    </row>
    <row r="87">
      <c r="A87" s="0" t="inlineStr">
        <is>
          <t>Sn84</t>
        </is>
      </c>
      <c r="C87" s="0" t="inlineStr">
        <is>
          <t>Snir</t>
        </is>
      </c>
      <c r="D87" s="0" t="inlineStr">
        <is>
          <t>Snir</t>
        </is>
      </c>
      <c r="F87" s="0" t="n">
        <v>59</v>
      </c>
      <c r="G87" s="0" t="inlineStr">
        <is>
          <t>lone</t>
        </is>
      </c>
      <c r="I87" s="0" t="inlineStr">
        <is>
          <t>lone</t>
        </is>
      </c>
      <c r="L87" s="0" t="inlineStr">
        <is>
          <t>28.9.20</t>
        </is>
      </c>
      <c r="M87" s="0" t="n">
        <v>1</v>
      </c>
      <c r="N87" s="0" t="n">
        <v>0</v>
      </c>
      <c r="O87" s="0" t="n">
        <v>2</v>
      </c>
      <c r="P87" s="0" t="n">
        <v>0</v>
      </c>
      <c r="Q87" s="0" t="n">
        <v>0</v>
      </c>
      <c r="R87" s="0" t="n">
        <v>2</v>
      </c>
      <c r="S87" s="0" t="inlineStr">
        <is>
          <t>a1txg_a1g_N_N_N_b1h_c_a4_a2</t>
        </is>
      </c>
      <c r="T87" s="0" t="inlineStr">
        <is>
          <t>a1txg</t>
        </is>
      </c>
      <c r="U87" s="0" t="inlineStr">
        <is>
          <t>a1g</t>
        </is>
      </c>
      <c r="V87" s="0" t="inlineStr">
        <is>
          <t>N</t>
        </is>
      </c>
      <c r="W87" s="0" t="inlineStr">
        <is>
          <t>N</t>
        </is>
      </c>
      <c r="X87" s="0" t="inlineStr">
        <is>
          <t>N</t>
        </is>
      </c>
      <c r="Y87" s="0" t="inlineStr">
        <is>
          <t>b1h</t>
        </is>
      </c>
      <c r="Z87" s="0" t="inlineStr">
        <is>
          <t>c</t>
        </is>
      </c>
      <c r="AA87" s="0" t="inlineStr">
        <is>
          <t>a4</t>
        </is>
      </c>
      <c r="AB87" s="0" t="inlineStr">
        <is>
          <t>a2</t>
        </is>
      </c>
    </row>
    <row r="88">
      <c r="A88" s="0" t="inlineStr">
        <is>
          <t>Sn85</t>
        </is>
      </c>
      <c r="C88" s="0" t="inlineStr">
        <is>
          <t>Snir</t>
        </is>
      </c>
      <c r="D88" s="0" t="inlineStr">
        <is>
          <t>Snir</t>
        </is>
      </c>
      <c r="F88" s="0" t="n">
        <v>59</v>
      </c>
      <c r="G88" s="0" t="inlineStr">
        <is>
          <t>group*</t>
        </is>
      </c>
      <c r="I88" s="0" t="inlineStr">
        <is>
          <t>snir*</t>
        </is>
      </c>
      <c r="J88" s="0" t="inlineStr">
        <is>
          <t>unknown</t>
        </is>
      </c>
      <c r="L88" s="0" t="inlineStr">
        <is>
          <t>29.11.20</t>
        </is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1</v>
      </c>
      <c r="R88" s="0" t="n">
        <v>2</v>
      </c>
      <c r="S88" s="0" t="inlineStr">
        <is>
          <t>i_i_N_P_N_b1g_c_a4b1_a2</t>
        </is>
      </c>
      <c r="T88" s="0" t="inlineStr">
        <is>
          <t>i</t>
        </is>
      </c>
      <c r="U88" s="0" t="inlineStr">
        <is>
          <t>i</t>
        </is>
      </c>
      <c r="V88" s="0" t="inlineStr">
        <is>
          <t>N</t>
        </is>
      </c>
      <c r="W88" s="0" t="inlineStr">
        <is>
          <t>P</t>
        </is>
      </c>
      <c r="X88" s="0" t="inlineStr">
        <is>
          <t>N</t>
        </is>
      </c>
      <c r="Y88" s="0" t="inlineStr">
        <is>
          <t>b1g</t>
        </is>
      </c>
      <c r="Z88" s="0" t="inlineStr">
        <is>
          <t>c</t>
        </is>
      </c>
      <c r="AA88" s="0" t="inlineStr">
        <is>
          <t>a4b1</t>
        </is>
      </c>
      <c r="AB88" s="0" t="inlineStr">
        <is>
          <t>a2</t>
        </is>
      </c>
    </row>
    <row r="89">
      <c r="A89" s="0" t="inlineStr">
        <is>
          <t>Ma87sn</t>
        </is>
      </c>
      <c r="C89" s="0" t="inlineStr">
        <is>
          <t>Snir,  masade</t>
        </is>
      </c>
      <c r="D89" s="0" t="inlineStr">
        <is>
          <t>masade</t>
        </is>
      </c>
      <c r="F89" s="0" t="inlineStr">
        <is>
          <t>59, 40</t>
        </is>
      </c>
      <c r="G89" s="0" t="inlineStr">
        <is>
          <t>lone</t>
        </is>
      </c>
      <c r="I89" s="0" t="inlineStr">
        <is>
          <t>lone</t>
        </is>
      </c>
      <c r="L89" s="0" t="inlineStr">
        <is>
          <t>1.11-6.12.20</t>
        </is>
      </c>
      <c r="M89" s="0" t="n">
        <v>1</v>
      </c>
      <c r="N89" s="0" t="n">
        <v>0</v>
      </c>
      <c r="O89" s="0" t="n">
        <v>4</v>
      </c>
      <c r="P89" s="0" t="n">
        <v>0</v>
      </c>
      <c r="Q89" s="0" t="n">
        <v>0</v>
      </c>
      <c r="R89" s="0" t="n">
        <v>4</v>
      </c>
      <c r="S89" s="0" t="inlineStr">
        <is>
          <t>a2tyf_a7f_a1b_b1b_a1b_c1f_a1_a4b5_a4</t>
        </is>
      </c>
      <c r="T89" s="0" t="inlineStr">
        <is>
          <t>a2tyf</t>
        </is>
      </c>
      <c r="U89" s="0" t="inlineStr">
        <is>
          <t>a7f</t>
        </is>
      </c>
      <c r="V89" s="0" t="inlineStr">
        <is>
          <t>a1b</t>
        </is>
      </c>
      <c r="W89" s="0" t="inlineStr">
        <is>
          <t>b1b</t>
        </is>
      </c>
      <c r="X89" s="0" t="inlineStr">
        <is>
          <t>a1b</t>
        </is>
      </c>
      <c r="Y89" s="0" t="inlineStr">
        <is>
          <t>c1f</t>
        </is>
      </c>
      <c r="Z89" s="0" t="inlineStr">
        <is>
          <t>a1</t>
        </is>
      </c>
      <c r="AA89" s="0" t="inlineStr">
        <is>
          <t>a4b5</t>
        </is>
      </c>
      <c r="AB89" s="0" t="inlineStr">
        <is>
          <t>a4</t>
        </is>
      </c>
    </row>
    <row r="90">
      <c r="A90" s="0" t="inlineStr">
        <is>
          <t>Ma88</t>
        </is>
      </c>
      <c r="C90" s="0" t="inlineStr">
        <is>
          <t>masade</t>
        </is>
      </c>
      <c r="D90" s="0" t="inlineStr">
        <is>
          <t>masade</t>
        </is>
      </c>
      <c r="F90" s="0" t="n">
        <v>37</v>
      </c>
      <c r="G90" s="0" t="inlineStr">
        <is>
          <t>lone</t>
        </is>
      </c>
      <c r="I90" s="0" t="inlineStr">
        <is>
          <t>lone</t>
        </is>
      </c>
      <c r="L90" s="0" t="inlineStr">
        <is>
          <t>14.10.20</t>
        </is>
      </c>
      <c r="M90" s="0" t="n">
        <v>1</v>
      </c>
      <c r="N90" s="0" t="n">
        <v>2</v>
      </c>
      <c r="O90" s="0" t="n">
        <v>0</v>
      </c>
      <c r="P90" s="0" t="n">
        <v>1</v>
      </c>
      <c r="Q90" s="0" t="n">
        <v>0</v>
      </c>
      <c r="R90" s="0" t="n">
        <v>3</v>
      </c>
      <c r="S90" s="0" t="inlineStr">
        <is>
          <t>d1m_a3l_a3_c1b_c1b_c2h_c_a7_a2</t>
        </is>
      </c>
      <c r="T90" s="0" t="inlineStr">
        <is>
          <t>d1m</t>
        </is>
      </c>
      <c r="U90" s="0" t="inlineStr">
        <is>
          <t>a3l</t>
        </is>
      </c>
      <c r="V90" s="0" t="inlineStr">
        <is>
          <t>a3</t>
        </is>
      </c>
      <c r="W90" s="0" t="inlineStr">
        <is>
          <t>c1b</t>
        </is>
      </c>
      <c r="X90" s="0" t="inlineStr">
        <is>
          <t>c1b</t>
        </is>
      </c>
      <c r="Y90" s="0" t="inlineStr">
        <is>
          <t>c2h</t>
        </is>
      </c>
      <c r="Z90" s="0" t="inlineStr">
        <is>
          <t>c</t>
        </is>
      </c>
      <c r="AA90" s="0" t="inlineStr">
        <is>
          <t>a7</t>
        </is>
      </c>
      <c r="AB90" s="0" t="inlineStr">
        <is>
          <t>a2</t>
        </is>
      </c>
    </row>
    <row r="91">
      <c r="A91" s="0" t="inlineStr">
        <is>
          <t>In89</t>
        </is>
      </c>
      <c r="C91" s="0" t="inlineStr">
        <is>
          <t>golan</t>
        </is>
      </c>
      <c r="F91" s="0" t="inlineStr">
        <is>
          <t>omer weiner</t>
        </is>
      </c>
      <c r="G91" s="0" t="inlineStr">
        <is>
          <t>unknown</t>
        </is>
      </c>
      <c r="I91" s="0" t="inlineStr">
        <is>
          <t>unknown</t>
        </is>
      </c>
      <c r="K91" s="0" t="inlineStr">
        <is>
          <t>dark fur</t>
        </is>
      </c>
      <c r="L91" s="0" t="n">
        <v>5.2022</v>
      </c>
      <c r="M91" s="0" t="n">
        <v>1</v>
      </c>
      <c r="N91" s="0" t="n">
        <v>1</v>
      </c>
      <c r="O91" s="0" t="n">
        <v>0</v>
      </c>
      <c r="P91" s="0" t="n">
        <v>1</v>
      </c>
      <c r="Q91" s="0" t="n">
        <v>1</v>
      </c>
      <c r="R91" s="0" t="n">
        <v>3</v>
      </c>
      <c r="S91" s="0" t="inlineStr">
        <is>
          <t>e_e_N_b2a_a2b_a7f_b2_N_N</t>
        </is>
      </c>
      <c r="T91" s="0" t="inlineStr">
        <is>
          <t>e</t>
        </is>
      </c>
      <c r="U91" s="0" t="inlineStr">
        <is>
          <t>e</t>
        </is>
      </c>
      <c r="V91" s="0" t="inlineStr">
        <is>
          <t>N</t>
        </is>
      </c>
      <c r="W91" s="0" t="inlineStr">
        <is>
          <t>b2a</t>
        </is>
      </c>
      <c r="X91" s="0" t="inlineStr">
        <is>
          <t>a2b</t>
        </is>
      </c>
      <c r="Y91" s="0" t="inlineStr">
        <is>
          <t>a7f</t>
        </is>
      </c>
      <c r="Z91" s="0" t="inlineStr">
        <is>
          <t>b2</t>
        </is>
      </c>
      <c r="AA91" s="0" t="inlineStr">
        <is>
          <t>N</t>
        </is>
      </c>
      <c r="AB91" s="0" t="inlineStr">
        <is>
          <t>N</t>
        </is>
      </c>
    </row>
    <row r="92">
      <c r="A92" s="0" t="inlineStr">
        <is>
          <t>In90</t>
        </is>
      </c>
      <c r="C92" s="0" t="inlineStr">
        <is>
          <t>golan</t>
        </is>
      </c>
      <c r="E92" s="0" t="inlineStr">
        <is>
          <t>f</t>
        </is>
      </c>
      <c r="F92" s="0" t="inlineStr">
        <is>
          <t>omer weiner</t>
        </is>
      </c>
      <c r="G92" s="0" t="inlineStr">
        <is>
          <t>unknown</t>
        </is>
      </c>
      <c r="I92" s="0" t="inlineStr">
        <is>
          <t>unknown</t>
        </is>
      </c>
      <c r="K92" s="0" t="inlineStr">
        <is>
          <t>big ears, tringle shape on the cheek, erez's female</t>
        </is>
      </c>
      <c r="L92" s="0" t="n">
        <v>9.2021</v>
      </c>
      <c r="M92" s="0" t="n">
        <v>1</v>
      </c>
      <c r="N92" s="0" t="n">
        <v>1</v>
      </c>
      <c r="O92" s="0" t="n">
        <v>0</v>
      </c>
      <c r="P92" s="0" t="n">
        <v>1</v>
      </c>
      <c r="Q92" s="0" t="n">
        <v>0</v>
      </c>
      <c r="R92" s="0" t="n">
        <v>2</v>
      </c>
      <c r="S92" s="0" t="inlineStr">
        <is>
          <t>c1yi_a5i_a2b_c3b_c3b_a3f_a1_a4_N</t>
        </is>
      </c>
      <c r="T92" s="0" t="inlineStr">
        <is>
          <t>c1yi</t>
        </is>
      </c>
      <c r="U92" s="0" t="inlineStr">
        <is>
          <t>a5i</t>
        </is>
      </c>
      <c r="V92" s="0" t="inlineStr">
        <is>
          <t>a2b</t>
        </is>
      </c>
      <c r="W92" s="0" t="inlineStr">
        <is>
          <t>c3b</t>
        </is>
      </c>
      <c r="X92" s="0" t="inlineStr">
        <is>
          <t>c3b</t>
        </is>
      </c>
      <c r="Y92" s="0" t="inlineStr">
        <is>
          <t>a3f</t>
        </is>
      </c>
      <c r="Z92" s="0" t="inlineStr">
        <is>
          <t>a1</t>
        </is>
      </c>
      <c r="AA92" s="0" t="inlineStr">
        <is>
          <t>a4</t>
        </is>
      </c>
      <c r="AB92" s="0" t="inlineStr">
        <is>
          <t>N</t>
        </is>
      </c>
    </row>
    <row r="93">
      <c r="A93" s="0" t="inlineStr">
        <is>
          <t>In91</t>
        </is>
      </c>
      <c r="C93" s="0" t="inlineStr">
        <is>
          <t>golan</t>
        </is>
      </c>
      <c r="F93" s="0" t="inlineStr">
        <is>
          <t>ariel shamir</t>
        </is>
      </c>
      <c r="G93" s="0" t="inlineStr">
        <is>
          <t>unknown</t>
        </is>
      </c>
      <c r="I93" s="0" t="inlineStr">
        <is>
          <t>unknown</t>
        </is>
      </c>
      <c r="K93" s="0" t="inlineStr">
        <is>
          <t>light neck, dark face</t>
        </is>
      </c>
      <c r="L93" s="0" t="inlineStr">
        <is>
          <t>12.2016-1.2019</t>
        </is>
      </c>
      <c r="M93" s="0" t="n">
        <v>1</v>
      </c>
      <c r="N93" s="0" t="n">
        <v>1</v>
      </c>
      <c r="O93" s="0" t="n">
        <v>0</v>
      </c>
      <c r="P93" s="0" t="n">
        <v>1</v>
      </c>
      <c r="Q93" s="0" t="n">
        <v>0</v>
      </c>
      <c r="R93" s="0" t="n">
        <v>2</v>
      </c>
      <c r="S93" s="0" t="inlineStr">
        <is>
          <t>e_e_N_N_N_a4e_a1_a7_a4</t>
        </is>
      </c>
      <c r="T93" s="0" t="inlineStr">
        <is>
          <t>e</t>
        </is>
      </c>
      <c r="U93" s="0" t="inlineStr">
        <is>
          <t>e</t>
        </is>
      </c>
      <c r="V93" s="0" t="inlineStr">
        <is>
          <t>N</t>
        </is>
      </c>
      <c r="W93" s="0" t="inlineStr">
        <is>
          <t>N</t>
        </is>
      </c>
      <c r="X93" s="0" t="inlineStr">
        <is>
          <t>N</t>
        </is>
      </c>
      <c r="Y93" s="0" t="inlineStr">
        <is>
          <t>a4e</t>
        </is>
      </c>
      <c r="Z93" s="0" t="inlineStr">
        <is>
          <t>a1</t>
        </is>
      </c>
      <c r="AA93" s="0" t="inlineStr">
        <is>
          <t>a7</t>
        </is>
      </c>
      <c r="AB93" s="0" t="inlineStr">
        <is>
          <t>a4</t>
        </is>
      </c>
    </row>
    <row r="94">
      <c r="A94" s="0" t="inlineStr">
        <is>
          <t>In92</t>
        </is>
      </c>
      <c r="C94" s="0" t="inlineStr">
        <is>
          <t>golan</t>
        </is>
      </c>
      <c r="F94" s="0" t="inlineStr">
        <is>
          <t>ariel shamir</t>
        </is>
      </c>
      <c r="G94" s="0" t="inlineStr">
        <is>
          <t>group</t>
        </is>
      </c>
      <c r="I94" s="0" t="inlineStr">
        <is>
          <t>unknown</t>
        </is>
      </c>
      <c r="J94" s="0" t="inlineStr">
        <is>
          <t>seen together</t>
        </is>
      </c>
      <c r="K94" s="0" t="inlineStr">
        <is>
          <t>dark fur, light brows</t>
        </is>
      </c>
      <c r="L94" s="0" t="n">
        <v>2.2017</v>
      </c>
      <c r="M94" s="0" t="n">
        <v>1</v>
      </c>
      <c r="N94" s="0" t="n">
        <v>0</v>
      </c>
      <c r="O94" s="0" t="n">
        <v>0</v>
      </c>
      <c r="P94" s="0" t="n">
        <v>1</v>
      </c>
      <c r="Q94" s="0" t="n">
        <v>0</v>
      </c>
      <c r="R94" s="0" t="n">
        <v>1</v>
      </c>
      <c r="S94" s="0" t="inlineStr">
        <is>
          <t>a2ze_e_a2a_b1b_a2b_e_P_N_N</t>
        </is>
      </c>
      <c r="T94" s="0" t="inlineStr">
        <is>
          <t>a2ze</t>
        </is>
      </c>
      <c r="U94" s="0" t="inlineStr">
        <is>
          <t>e</t>
        </is>
      </c>
      <c r="V94" s="0" t="inlineStr">
        <is>
          <t>a2a</t>
        </is>
      </c>
      <c r="W94" s="0" t="inlineStr">
        <is>
          <t>b1b</t>
        </is>
      </c>
      <c r="X94" s="0" t="inlineStr">
        <is>
          <t>a2b</t>
        </is>
      </c>
      <c r="Y94" s="0" t="inlineStr">
        <is>
          <t>e</t>
        </is>
      </c>
      <c r="Z94" s="0" t="inlineStr">
        <is>
          <t>P</t>
        </is>
      </c>
      <c r="AA94" s="0" t="inlineStr">
        <is>
          <t>N</t>
        </is>
      </c>
      <c r="AB94" s="0" t="inlineStr">
        <is>
          <t>N</t>
        </is>
      </c>
    </row>
    <row r="95">
      <c r="A95" s="0" t="inlineStr">
        <is>
          <t>In93</t>
        </is>
      </c>
      <c r="C95" s="0" t="inlineStr">
        <is>
          <t>golan</t>
        </is>
      </c>
      <c r="F95" s="0" t="inlineStr">
        <is>
          <t>ariel shamir</t>
        </is>
      </c>
      <c r="G95" s="0" t="inlineStr">
        <is>
          <t>group</t>
        </is>
      </c>
      <c r="I95" s="0" t="inlineStr">
        <is>
          <t>unknown</t>
        </is>
      </c>
      <c r="J95" s="0" t="inlineStr">
        <is>
          <t>seen together</t>
        </is>
      </c>
      <c r="K95" s="0" t="inlineStr">
        <is>
          <t>dark fur, light face</t>
        </is>
      </c>
      <c r="L95" s="0" t="n">
        <v>2.2017</v>
      </c>
      <c r="M95" s="0" t="n">
        <v>1</v>
      </c>
      <c r="N95" s="0" t="n">
        <v>0</v>
      </c>
      <c r="O95" s="0" t="n">
        <v>0</v>
      </c>
      <c r="P95" s="0" t="n">
        <v>1</v>
      </c>
      <c r="Q95" s="0" t="n">
        <v>0</v>
      </c>
      <c r="R95" s="0" t="n">
        <v>1</v>
      </c>
      <c r="S95" s="0" t="inlineStr">
        <is>
          <t>d1m_a3e_a2b_c1b_c1b_c1f_P_N_N</t>
        </is>
      </c>
      <c r="T95" s="0" t="inlineStr">
        <is>
          <t>d1m</t>
        </is>
      </c>
      <c r="U95" s="0" t="inlineStr">
        <is>
          <t>a3e</t>
        </is>
      </c>
      <c r="V95" s="0" t="inlineStr">
        <is>
          <t>a2b</t>
        </is>
      </c>
      <c r="W95" s="0" t="inlineStr">
        <is>
          <t>c1b</t>
        </is>
      </c>
      <c r="X95" s="0" t="inlineStr">
        <is>
          <t>c1b</t>
        </is>
      </c>
      <c r="Y95" s="0" t="inlineStr">
        <is>
          <t>c1f</t>
        </is>
      </c>
      <c r="Z95" s="0" t="inlineStr">
        <is>
          <t>P</t>
        </is>
      </c>
      <c r="AA95" s="0" t="inlineStr">
        <is>
          <t>N</t>
        </is>
      </c>
      <c r="AB95" s="0" t="inlineStr">
        <is>
          <t>N</t>
        </is>
      </c>
    </row>
    <row r="96">
      <c r="A96" s="0" t="inlineStr">
        <is>
          <t>In94</t>
        </is>
      </c>
      <c r="C96" s="0" t="inlineStr">
        <is>
          <t>golan</t>
        </is>
      </c>
      <c r="F96" s="0" t="inlineStr">
        <is>
          <t>ariel shamir</t>
        </is>
      </c>
      <c r="G96" s="0" t="inlineStr">
        <is>
          <t>unknown</t>
        </is>
      </c>
      <c r="I96" s="0" t="inlineStr">
        <is>
          <t>unknown</t>
        </is>
      </c>
      <c r="K96" s="0" t="inlineStr">
        <is>
          <t>white area on the neck, husky-like</t>
        </is>
      </c>
      <c r="L96" s="0" t="n">
        <v>1.2017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1</v>
      </c>
      <c r="S96" s="0" t="inlineStr">
        <is>
          <t>e_e_N_N_N_c1e_b1_a1_a3</t>
        </is>
      </c>
      <c r="T96" s="0" t="inlineStr">
        <is>
          <t>e</t>
        </is>
      </c>
      <c r="U96" s="0" t="inlineStr">
        <is>
          <t>e</t>
        </is>
      </c>
      <c r="V96" s="0" t="inlineStr">
        <is>
          <t>N</t>
        </is>
      </c>
      <c r="W96" s="0" t="inlineStr">
        <is>
          <t>N</t>
        </is>
      </c>
      <c r="X96" s="0" t="inlineStr">
        <is>
          <t>N</t>
        </is>
      </c>
      <c r="Y96" s="0" t="inlineStr">
        <is>
          <t>c1e</t>
        </is>
      </c>
      <c r="Z96" s="0" t="inlineStr">
        <is>
          <t>b1</t>
        </is>
      </c>
      <c r="AA96" s="0" t="inlineStr">
        <is>
          <t>a1</t>
        </is>
      </c>
      <c r="AB96" s="0" t="inlineStr">
        <is>
          <t>a3</t>
        </is>
      </c>
    </row>
    <row r="97">
      <c r="A97" s="0" t="inlineStr">
        <is>
          <t>In95</t>
        </is>
      </c>
      <c r="C97" s="0" t="inlineStr">
        <is>
          <t>golan</t>
        </is>
      </c>
      <c r="F97" s="0" t="inlineStr">
        <is>
          <t>omer weiner</t>
        </is>
      </c>
      <c r="G97" s="0" t="inlineStr">
        <is>
          <t>unknown</t>
        </is>
      </c>
      <c r="I97" s="0" t="inlineStr">
        <is>
          <t>unknown</t>
        </is>
      </c>
      <c r="K97" s="0" t="inlineStr">
        <is>
          <t xml:space="preserve">dark orange fur </t>
        </is>
      </c>
      <c r="L97" s="0" t="n">
        <v>12.2011</v>
      </c>
      <c r="M97" s="0" t="n">
        <v>1</v>
      </c>
      <c r="N97" s="0" t="n">
        <v>0</v>
      </c>
      <c r="O97" s="0" t="n">
        <v>1</v>
      </c>
      <c r="P97" s="0" t="n">
        <v>0</v>
      </c>
      <c r="Q97" s="0" t="n">
        <v>0</v>
      </c>
      <c r="R97" s="0" t="n">
        <v>1</v>
      </c>
      <c r="S97" s="0" t="inlineStr">
        <is>
          <t>b1l_a2e_N_c1b_c1b_b1j_c_a2_a3</t>
        </is>
      </c>
      <c r="T97" s="0" t="inlineStr">
        <is>
          <t>b1l</t>
        </is>
      </c>
      <c r="U97" s="0" t="inlineStr">
        <is>
          <t>a2e</t>
        </is>
      </c>
      <c r="V97" s="0" t="inlineStr">
        <is>
          <t>N</t>
        </is>
      </c>
      <c r="W97" s="0" t="inlineStr">
        <is>
          <t>c1b</t>
        </is>
      </c>
      <c r="X97" s="0" t="inlineStr">
        <is>
          <t>c1b</t>
        </is>
      </c>
      <c r="Y97" s="0" t="inlineStr">
        <is>
          <t>b1j</t>
        </is>
      </c>
      <c r="Z97" s="0" t="inlineStr">
        <is>
          <t>c</t>
        </is>
      </c>
      <c r="AA97" s="0" t="inlineStr">
        <is>
          <t>a2</t>
        </is>
      </c>
      <c r="AB97" s="0" t="inlineStr">
        <is>
          <t>a3</t>
        </is>
      </c>
    </row>
    <row r="98">
      <c r="A98" s="0" t="inlineStr">
        <is>
          <t>In96</t>
        </is>
      </c>
      <c r="C98" s="0" t="inlineStr">
        <is>
          <t>golan</t>
        </is>
      </c>
      <c r="F98" s="0" t="inlineStr">
        <is>
          <t>omer weiner</t>
        </is>
      </c>
      <c r="G98" s="0" t="inlineStr">
        <is>
          <t>unknown</t>
        </is>
      </c>
      <c r="I98" s="0" t="inlineStr">
        <is>
          <t>unknown</t>
        </is>
      </c>
      <c r="K98" s="0" t="inlineStr">
        <is>
          <t>grey fur, light fur around nose</t>
        </is>
      </c>
      <c r="L98" s="0" t="n">
        <v>8.2019</v>
      </c>
      <c r="M98" s="0" t="n">
        <v>1</v>
      </c>
      <c r="N98" s="0" t="n">
        <v>0</v>
      </c>
      <c r="O98" s="0" t="n">
        <v>2</v>
      </c>
      <c r="P98" s="0" t="n">
        <v>0</v>
      </c>
      <c r="Q98" s="0" t="n">
        <v>0</v>
      </c>
      <c r="R98" s="0" t="n">
        <v>2</v>
      </c>
      <c r="S98" s="0" t="inlineStr">
        <is>
          <t>a2wyg_a4g_a3b_c1b_c1b_dl_c_a7b5_a2</t>
        </is>
      </c>
      <c r="T98" s="0" t="inlineStr">
        <is>
          <t>a2wyg</t>
        </is>
      </c>
      <c r="U98" s="0" t="inlineStr">
        <is>
          <t>a4g</t>
        </is>
      </c>
      <c r="V98" s="0" t="inlineStr">
        <is>
          <t>a3b</t>
        </is>
      </c>
      <c r="W98" s="0" t="inlineStr">
        <is>
          <t>c1b</t>
        </is>
      </c>
      <c r="X98" s="0" t="inlineStr">
        <is>
          <t>c1b</t>
        </is>
      </c>
      <c r="Y98" s="0" t="inlineStr">
        <is>
          <t>dl</t>
        </is>
      </c>
      <c r="Z98" s="0" t="inlineStr">
        <is>
          <t>c</t>
        </is>
      </c>
      <c r="AA98" s="0" t="inlineStr">
        <is>
          <t>a7b5</t>
        </is>
      </c>
      <c r="AB98" s="0" t="inlineStr">
        <is>
          <t>a2</t>
        </is>
      </c>
    </row>
    <row r="99">
      <c r="A99" s="0" t="inlineStr">
        <is>
          <t>In97</t>
        </is>
      </c>
      <c r="C99" s="0" t="inlineStr">
        <is>
          <t>golan</t>
        </is>
      </c>
      <c r="F99" s="0" t="inlineStr">
        <is>
          <t>elimelech</t>
        </is>
      </c>
      <c r="G99" s="0" t="inlineStr">
        <is>
          <t>unknown</t>
        </is>
      </c>
      <c r="I99" s="0" t="inlineStr">
        <is>
          <t>unknown</t>
        </is>
      </c>
      <c r="L99" s="0" t="n">
        <v>7.2025</v>
      </c>
      <c r="M99" s="0" t="n">
        <v>1</v>
      </c>
      <c r="N99" s="0" t="n">
        <v>2</v>
      </c>
      <c r="O99" s="0" t="n">
        <v>0</v>
      </c>
      <c r="P99" s="0" t="n">
        <v>0</v>
      </c>
      <c r="Q99" s="0" t="n">
        <v>0</v>
      </c>
      <c r="R99" s="0" t="n">
        <v>2</v>
      </c>
      <c r="S99" s="0" t="inlineStr">
        <is>
          <t>a2wyi_i_N_N_N_i_N_a4_N</t>
        </is>
      </c>
      <c r="T99" s="0" t="inlineStr">
        <is>
          <t>a2wyi</t>
        </is>
      </c>
      <c r="U99" s="0" t="inlineStr">
        <is>
          <t>i</t>
        </is>
      </c>
      <c r="V99" s="0" t="inlineStr">
        <is>
          <t>N</t>
        </is>
      </c>
      <c r="W99" s="0" t="inlineStr">
        <is>
          <t>N</t>
        </is>
      </c>
      <c r="X99" s="0" t="inlineStr">
        <is>
          <t>N</t>
        </is>
      </c>
      <c r="Y99" s="0" t="inlineStr">
        <is>
          <t>i</t>
        </is>
      </c>
      <c r="Z99" s="0" t="inlineStr">
        <is>
          <t>N</t>
        </is>
      </c>
      <c r="AA99" s="0" t="inlineStr">
        <is>
          <t>a4</t>
        </is>
      </c>
      <c r="AB99" s="0" t="inlineStr">
        <is>
          <t>N</t>
        </is>
      </c>
    </row>
    <row r="100">
      <c r="A100" s="0" t="inlineStr">
        <is>
          <t>In98</t>
        </is>
      </c>
      <c r="C100" s="0" t="inlineStr">
        <is>
          <t>golan</t>
        </is>
      </c>
      <c r="F100" s="0" t="inlineStr">
        <is>
          <t>moshe_neeman</t>
        </is>
      </c>
      <c r="G100" s="0" t="inlineStr">
        <is>
          <t>unknown</t>
        </is>
      </c>
      <c r="I100" s="0" t="inlineStr">
        <is>
          <t>unknown</t>
        </is>
      </c>
      <c r="L100" s="0" t="n">
        <v>8.202500000000001</v>
      </c>
      <c r="M100" s="0" t="n">
        <v>1</v>
      </c>
      <c r="N100" s="0" t="n">
        <v>1</v>
      </c>
      <c r="O100" s="0" t="n">
        <v>0</v>
      </c>
      <c r="P100" s="0" t="n">
        <v>1</v>
      </c>
      <c r="Q100" s="0" t="n">
        <v>0</v>
      </c>
      <c r="R100" s="0" t="n">
        <v>2</v>
      </c>
      <c r="S100" s="0" t="inlineStr">
        <is>
          <t>c1zi_a5i_a2b_c2b_c2b_c1g_c_a7_a2</t>
        </is>
      </c>
      <c r="T100" s="0" t="inlineStr">
        <is>
          <t>c1zi</t>
        </is>
      </c>
      <c r="U100" s="0" t="inlineStr">
        <is>
          <t>a5i</t>
        </is>
      </c>
      <c r="V100" s="0" t="inlineStr">
        <is>
          <t>a2b</t>
        </is>
      </c>
      <c r="W100" s="0" t="inlineStr">
        <is>
          <t>c2b</t>
        </is>
      </c>
      <c r="X100" s="0" t="inlineStr">
        <is>
          <t>c2b</t>
        </is>
      </c>
      <c r="Y100" s="0" t="inlineStr">
        <is>
          <t>c1g</t>
        </is>
      </c>
      <c r="Z100" s="0" t="inlineStr">
        <is>
          <t>c</t>
        </is>
      </c>
      <c r="AA100" s="0" t="inlineStr">
        <is>
          <t>a7</t>
        </is>
      </c>
      <c r="AB100" s="0" t="inlineStr">
        <is>
          <t>a2</t>
        </is>
      </c>
    </row>
    <row r="101">
      <c r="A101" s="0" t="inlineStr">
        <is>
          <t>In105</t>
        </is>
      </c>
      <c r="C101" s="0" t="inlineStr">
        <is>
          <t>golan</t>
        </is>
      </c>
      <c r="F101" s="0" t="inlineStr">
        <is>
          <t>nevo_</t>
        </is>
      </c>
      <c r="G101" s="0" t="inlineStr">
        <is>
          <t>unknown</t>
        </is>
      </c>
      <c r="I101" s="0" t="inlineStr">
        <is>
          <t>unknown</t>
        </is>
      </c>
      <c r="K101" s="0" t="inlineStr">
        <is>
          <t>collared, likely have scabias, his legs doesn't look good</t>
        </is>
      </c>
      <c r="L101" s="0" t="n">
        <v>1.2023</v>
      </c>
      <c r="M101" s="0" t="n">
        <v>1</v>
      </c>
      <c r="N101" s="0" t="n">
        <v>1</v>
      </c>
      <c r="O101" s="0" t="n">
        <v>0</v>
      </c>
      <c r="P101" s="0" t="n">
        <v>1</v>
      </c>
      <c r="Q101" s="0" t="n">
        <v>0</v>
      </c>
      <c r="R101" s="0" t="n">
        <v>2</v>
      </c>
      <c r="S101" s="0" t="inlineStr">
        <is>
          <t>b4g_a10g_b_b1a_a1a_b2f_b2_N_N</t>
        </is>
      </c>
      <c r="T101" s="0" t="inlineStr">
        <is>
          <t>b4g</t>
        </is>
      </c>
      <c r="U101" s="0" t="inlineStr">
        <is>
          <t>a10g</t>
        </is>
      </c>
      <c r="V101" s="0" t="inlineStr">
        <is>
          <t>b</t>
        </is>
      </c>
      <c r="W101" s="0" t="inlineStr">
        <is>
          <t>b1a</t>
        </is>
      </c>
      <c r="X101" s="0" t="inlineStr">
        <is>
          <t>a1a</t>
        </is>
      </c>
      <c r="Y101" s="0" t="inlineStr">
        <is>
          <t>b2f</t>
        </is>
      </c>
      <c r="Z101" s="0" t="inlineStr">
        <is>
          <t>b2</t>
        </is>
      </c>
      <c r="AA101" s="0" t="inlineStr">
        <is>
          <t>N</t>
        </is>
      </c>
      <c r="AB101" s="0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0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" customHeight="1"/>
  <cols>
    <col width="6.75" customWidth="1" style="114" min="1" max="2"/>
    <col width="27.75" customWidth="1" style="114" min="3" max="4"/>
    <col width="11.25" customWidth="1" style="114" min="5" max="5"/>
    <col width="16" customWidth="1" style="114" min="6" max="6"/>
    <col width="15.38" customWidth="1" style="114" min="7" max="7"/>
    <col width="22.25" customWidth="1" style="114" min="8" max="8"/>
    <col width="18.5" customWidth="1" style="114" min="9" max="9"/>
    <col width="77.88" customWidth="1" style="114" min="10" max="10"/>
    <col width="17.88" customWidth="1" style="114" min="11" max="11"/>
    <col width="58.88" customWidth="1" style="114" min="12" max="12"/>
    <col width="8.5" customWidth="1" style="114" min="13" max="13"/>
    <col width="10.25" customWidth="1" style="114" min="14" max="14"/>
    <col width="5" customWidth="1" style="114" min="15" max="15"/>
    <col width="7" customWidth="1" style="114" min="16" max="16"/>
    <col width="6.88" customWidth="1" style="114" min="17" max="17"/>
    <col width="5.63" customWidth="1" style="114" min="18" max="18"/>
    <col width="5.25" customWidth="1" style="114" min="19" max="19"/>
    <col width="4.63" customWidth="1" style="114" min="20" max="20"/>
    <col width="4.5" customWidth="1" style="114" min="21" max="21"/>
  </cols>
  <sheetData>
    <row r="1" ht="14.25" customHeight="1" s="114">
      <c r="A1" s="97" t="inlineStr">
        <is>
          <t>serial number</t>
        </is>
      </c>
      <c r="B1" s="97" t="inlineStr">
        <is>
          <t>name</t>
        </is>
      </c>
      <c r="C1" s="98" t="inlineStr">
        <is>
          <t>area</t>
        </is>
      </c>
      <c r="D1" s="98" t="inlineStr">
        <is>
          <t>main poligon</t>
        </is>
      </c>
      <c r="E1" s="97" t="inlineStr">
        <is>
          <t>gender</t>
        </is>
      </c>
      <c r="F1" s="97" t="inlineStr">
        <is>
          <t>cams_spotted</t>
        </is>
      </c>
      <c r="G1" s="32" t="inlineStr">
        <is>
          <t>social dynamic</t>
        </is>
      </c>
      <c r="H1" s="32" t="inlineStr">
        <is>
          <t>pack name</t>
        </is>
      </c>
      <c r="I1" s="32" t="inlineStr">
        <is>
          <t>seen with</t>
        </is>
      </c>
      <c r="J1" s="32" t="inlineStr">
        <is>
          <t>notes</t>
        </is>
      </c>
      <c r="K1" s="32" t="inlineStr">
        <is>
          <t>time on camera</t>
        </is>
      </c>
      <c r="L1" s="32" t="inlineStr">
        <is>
          <t>תז</t>
        </is>
      </c>
      <c r="M1" s="32" t="inlineStr">
        <is>
          <t>A1</t>
        </is>
      </c>
      <c r="N1" s="32" t="inlineStr">
        <is>
          <t>A2</t>
        </is>
      </c>
      <c r="O1" s="32" t="inlineStr">
        <is>
          <t>B3</t>
        </is>
      </c>
      <c r="P1" s="32" t="inlineStr">
        <is>
          <t>B4</t>
        </is>
      </c>
      <c r="Q1" s="32" t="inlineStr">
        <is>
          <t>B5</t>
        </is>
      </c>
      <c r="R1" s="32" t="inlineStr">
        <is>
          <t>C6</t>
        </is>
      </c>
      <c r="S1" s="32" t="inlineStr">
        <is>
          <t>C7</t>
        </is>
      </c>
      <c r="T1" s="32" t="inlineStr">
        <is>
          <t>D8</t>
        </is>
      </c>
      <c r="U1" s="32" t="inlineStr">
        <is>
          <t>D9</t>
        </is>
      </c>
    </row>
    <row r="2" ht="14.25" customHeight="1" s="114">
      <c r="A2" s="97" t="inlineStr">
        <is>
          <t>M1</t>
        </is>
      </c>
      <c r="B2" s="97" t="inlineStr">
        <is>
          <t>Segen</t>
        </is>
      </c>
      <c r="C2" s="97" t="inlineStr">
        <is>
          <t>makhfi</t>
        </is>
      </c>
      <c r="D2" s="97" t="inlineStr">
        <is>
          <t>makhfi</t>
        </is>
      </c>
      <c r="E2" s="97" t="inlineStr">
        <is>
          <t>m</t>
        </is>
      </c>
      <c r="F2" s="97" t="n">
        <v>27</v>
      </c>
      <c r="G2" s="32" t="inlineStr">
        <is>
          <t>pack</t>
        </is>
      </c>
      <c r="H2" s="5" t="inlineStr">
        <is>
          <t>Makhfi original</t>
        </is>
      </c>
      <c r="I2" s="32" t="n"/>
      <c r="J2" s="32" t="inlineStr">
        <is>
          <t>very dark fur, alpha's brother, born in 2015, cub's babysitter</t>
        </is>
      </c>
      <c r="K2" s="32" t="inlineStr">
        <is>
          <t>29.10.20</t>
        </is>
      </c>
      <c r="L2" s="32" t="inlineStr">
        <is>
          <t>A1a5txeA2a1eB3NB4PB5NC6a3fC7a1D8a2b5D9a2</t>
        </is>
      </c>
      <c r="M2" s="32" t="inlineStr">
        <is>
          <t>a5txe</t>
        </is>
      </c>
      <c r="N2" s="32" t="inlineStr">
        <is>
          <t>a1e</t>
        </is>
      </c>
      <c r="O2" s="32" t="inlineStr">
        <is>
          <t>N</t>
        </is>
      </c>
      <c r="P2" s="32" t="inlineStr">
        <is>
          <t>P</t>
        </is>
      </c>
      <c r="Q2" s="32" t="inlineStr">
        <is>
          <t>N</t>
        </is>
      </c>
      <c r="R2" s="32" t="inlineStr">
        <is>
          <t>a3f</t>
        </is>
      </c>
      <c r="S2" s="32" t="inlineStr">
        <is>
          <t>a1</t>
        </is>
      </c>
      <c r="T2" s="32" t="inlineStr">
        <is>
          <t>a2b5</t>
        </is>
      </c>
      <c r="U2" s="32" t="inlineStr">
        <is>
          <t>a2</t>
        </is>
      </c>
    </row>
    <row r="3" ht="14.25" customHeight="1" s="114">
      <c r="A3" s="97" t="inlineStr">
        <is>
          <t>M2k</t>
        </is>
      </c>
      <c r="B3" s="97" t="n"/>
      <c r="C3" s="97" t="inlineStr">
        <is>
          <t>makhfi</t>
        </is>
      </c>
      <c r="D3" s="97" t="inlineStr">
        <is>
          <t>makhfi</t>
        </is>
      </c>
      <c r="E3" s="97" t="n"/>
      <c r="F3" s="97" t="n">
        <v>29</v>
      </c>
      <c r="G3" s="32" t="inlineStr">
        <is>
          <t>group</t>
        </is>
      </c>
      <c r="H3" s="6" t="inlineStr">
        <is>
          <t>makhfi new</t>
        </is>
      </c>
      <c r="I3" s="32" t="n"/>
      <c r="J3" s="32" t="n"/>
      <c r="K3" s="32" t="inlineStr">
        <is>
          <t>18.9.20</t>
        </is>
      </c>
      <c r="L3" s="32" t="inlineStr">
        <is>
          <t>A1b1lA2a3iB3bB4c2B5c2C6a3iC7cD8a4b5D9a2</t>
        </is>
      </c>
      <c r="M3" s="32" t="inlineStr">
        <is>
          <t>b1l</t>
        </is>
      </c>
      <c r="N3" s="32" t="inlineStr">
        <is>
          <t>a3i</t>
        </is>
      </c>
      <c r="O3" s="32" t="inlineStr">
        <is>
          <t>b</t>
        </is>
      </c>
      <c r="P3" s="32" t="inlineStr">
        <is>
          <t>c2</t>
        </is>
      </c>
      <c r="Q3" s="32" t="inlineStr">
        <is>
          <t>c2</t>
        </is>
      </c>
      <c r="R3" s="32" t="inlineStr">
        <is>
          <t>a3i</t>
        </is>
      </c>
      <c r="S3" s="32" t="inlineStr">
        <is>
          <t>c</t>
        </is>
      </c>
      <c r="T3" s="32" t="inlineStr">
        <is>
          <t>a4b5</t>
        </is>
      </c>
      <c r="U3" s="32" t="inlineStr">
        <is>
          <t>a2</t>
        </is>
      </c>
    </row>
    <row r="4" ht="14.25" customHeight="1" s="114">
      <c r="A4" s="97" t="inlineStr">
        <is>
          <t>M3</t>
        </is>
      </c>
      <c r="B4" s="97" t="n"/>
      <c r="C4" s="97" t="inlineStr">
        <is>
          <t>makhfi</t>
        </is>
      </c>
      <c r="D4" s="97" t="inlineStr">
        <is>
          <t>makhfi</t>
        </is>
      </c>
      <c r="E4" s="97" t="inlineStr">
        <is>
          <t>m</t>
        </is>
      </c>
      <c r="F4" s="97" t="n">
        <v>29</v>
      </c>
      <c r="G4" s="32" t="inlineStr">
        <is>
          <t>unknown</t>
        </is>
      </c>
      <c r="H4" s="32" t="n"/>
      <c r="I4" s="32" t="n"/>
      <c r="J4" s="32" t="inlineStr">
        <is>
          <t>probably one of 2019's cubs of original pack</t>
        </is>
      </c>
      <c r="K4" s="32" t="inlineStr">
        <is>
          <t>10.11.20</t>
        </is>
      </c>
      <c r="L4" s="32" t="inlineStr">
        <is>
          <t>A1a5uyfA2a4B3a2B4c1B5c1C6a4gC7cD8PD9P</t>
        </is>
      </c>
      <c r="M4" s="32" t="inlineStr">
        <is>
          <t>a5uyf</t>
        </is>
      </c>
      <c r="N4" s="32" t="inlineStr">
        <is>
          <t>a4</t>
        </is>
      </c>
      <c r="O4" s="32" t="inlineStr">
        <is>
          <t>a2</t>
        </is>
      </c>
      <c r="P4" s="32" t="inlineStr">
        <is>
          <t>c1</t>
        </is>
      </c>
      <c r="Q4" s="32" t="inlineStr">
        <is>
          <t>c1</t>
        </is>
      </c>
      <c r="R4" s="32" t="inlineStr">
        <is>
          <t>a4g</t>
        </is>
      </c>
      <c r="S4" s="32" t="inlineStr">
        <is>
          <t>c</t>
        </is>
      </c>
      <c r="T4" s="32" t="inlineStr">
        <is>
          <t>P</t>
        </is>
      </c>
      <c r="U4" s="32" t="inlineStr">
        <is>
          <t>P</t>
        </is>
      </c>
    </row>
    <row r="5" ht="14.25" customHeight="1" s="114">
      <c r="A5" s="97" t="inlineStr">
        <is>
          <t>M4</t>
        </is>
      </c>
      <c r="B5" s="97" t="inlineStr">
        <is>
          <t>Foxy</t>
        </is>
      </c>
      <c r="C5" s="97" t="inlineStr">
        <is>
          <t>makhfi</t>
        </is>
      </c>
      <c r="D5" s="97" t="inlineStr">
        <is>
          <t>makhfi</t>
        </is>
      </c>
      <c r="E5" s="97" t="inlineStr">
        <is>
          <t>f</t>
        </is>
      </c>
      <c r="F5" s="97" t="n">
        <v>30</v>
      </c>
      <c r="G5" s="32" t="inlineStr">
        <is>
          <t>pack</t>
        </is>
      </c>
      <c r="H5" s="5" t="inlineStr">
        <is>
          <t>Makhfi original</t>
        </is>
      </c>
      <c r="I5" s="32" t="n"/>
      <c r="J5" s="32" t="inlineStr">
        <is>
          <t>golden fur, pink noze, Odem's daughter</t>
        </is>
      </c>
      <c r="K5" s="32" t="inlineStr">
        <is>
          <t>26.10.20</t>
        </is>
      </c>
      <c r="L5" s="32" t="inlineStr">
        <is>
          <t>A1d2kA2a7klB3bB4bB5bC6c2jC7b2D8a5D9a2</t>
        </is>
      </c>
      <c r="M5" s="32" t="inlineStr">
        <is>
          <t>d2k</t>
        </is>
      </c>
      <c r="N5" s="32" t="inlineStr">
        <is>
          <t>a7k</t>
        </is>
      </c>
      <c r="O5" s="32" t="inlineStr">
        <is>
          <t>b</t>
        </is>
      </c>
      <c r="P5" s="32" t="inlineStr">
        <is>
          <t>b</t>
        </is>
      </c>
      <c r="Q5" s="32" t="inlineStr">
        <is>
          <t>b</t>
        </is>
      </c>
      <c r="R5" s="32" t="inlineStr">
        <is>
          <t>c2j</t>
        </is>
      </c>
      <c r="S5" s="32" t="inlineStr">
        <is>
          <t>b2</t>
        </is>
      </c>
      <c r="T5" s="32" t="inlineStr">
        <is>
          <t>a5</t>
        </is>
      </c>
      <c r="U5" s="32" t="inlineStr">
        <is>
          <t>a2</t>
        </is>
      </c>
    </row>
    <row r="6" ht="14.25" customHeight="1" s="114">
      <c r="A6" s="97" t="inlineStr">
        <is>
          <t>M5</t>
        </is>
      </c>
      <c r="B6" s="97" t="inlineStr">
        <is>
          <t>Odem</t>
        </is>
      </c>
      <c r="C6" s="97" t="inlineStr">
        <is>
          <t>makhfi</t>
        </is>
      </c>
      <c r="D6" s="97" t="inlineStr">
        <is>
          <t>makhfi</t>
        </is>
      </c>
      <c r="E6" s="97" t="inlineStr">
        <is>
          <t>f</t>
        </is>
      </c>
      <c r="F6" s="97" t="n">
        <v>30</v>
      </c>
      <c r="G6" s="32" t="inlineStr">
        <is>
          <t>pack</t>
        </is>
      </c>
      <c r="H6" s="5" t="inlineStr">
        <is>
          <t>Makhfi original</t>
        </is>
      </c>
      <c r="I6" s="32" t="inlineStr">
        <is>
          <t>1 unrecognized</t>
        </is>
      </c>
      <c r="J6" s="32" t="inlineStr">
        <is>
          <t>alpha female, dark mark on front-right leg</t>
        </is>
      </c>
      <c r="K6" s="32" t="inlineStr">
        <is>
          <t>1-9.11.20</t>
        </is>
      </c>
      <c r="L6" s="32" t="inlineStr">
        <is>
          <t>A1a2wyfA2fRa6La1B3a3B4c1B5c1C6c2gC7b1D8a3b1D9a3</t>
        </is>
      </c>
      <c r="M6" s="32" t="inlineStr">
        <is>
          <t>a2wyf</t>
        </is>
      </c>
      <c r="N6" s="32" t="inlineStr">
        <is>
          <t>fRa6La1</t>
        </is>
      </c>
      <c r="O6" s="32" t="inlineStr">
        <is>
          <t>a3</t>
        </is>
      </c>
      <c r="P6" s="32" t="inlineStr">
        <is>
          <t>c1</t>
        </is>
      </c>
      <c r="Q6" s="32" t="inlineStr">
        <is>
          <t>c1</t>
        </is>
      </c>
      <c r="R6" s="32" t="inlineStr">
        <is>
          <t>c2g</t>
        </is>
      </c>
      <c r="S6" s="32" t="inlineStr">
        <is>
          <t>b1</t>
        </is>
      </c>
      <c r="T6" s="32" t="inlineStr">
        <is>
          <t>a3b1</t>
        </is>
      </c>
      <c r="U6" s="32" t="inlineStr">
        <is>
          <t>a3</t>
        </is>
      </c>
    </row>
    <row r="7" ht="14.25" customHeight="1" s="114">
      <c r="A7" s="97" t="inlineStr">
        <is>
          <t>M6H</t>
        </is>
      </c>
      <c r="B7" s="97" t="n"/>
      <c r="C7" s="97" t="inlineStr">
        <is>
          <t>makhfi</t>
        </is>
      </c>
      <c r="D7" s="97" t="inlineStr">
        <is>
          <t>makhfi</t>
        </is>
      </c>
      <c r="E7" s="97" t="inlineStr">
        <is>
          <t>f</t>
        </is>
      </c>
      <c r="F7" s="97" t="inlineStr">
        <is>
          <t>30, 26,  22</t>
        </is>
      </c>
      <c r="G7" s="32" t="inlineStr">
        <is>
          <t>unknown</t>
        </is>
      </c>
      <c r="H7" s="32" t="n"/>
      <c r="I7" s="32" t="n"/>
      <c r="J7" s="32" t="n"/>
      <c r="K7" s="32" t="inlineStr">
        <is>
          <t>26.8.20-14.11.20</t>
        </is>
      </c>
      <c r="L7" s="32" t="inlineStr">
        <is>
          <t>A1b1kA2a1iB3a3B4c1B5c1C6c3iC7a2D8a3b5D9b2</t>
        </is>
      </c>
      <c r="M7" s="32" t="inlineStr">
        <is>
          <t>b1k</t>
        </is>
      </c>
      <c r="N7" s="32" t="inlineStr">
        <is>
          <t>a1i</t>
        </is>
      </c>
      <c r="O7" s="32" t="inlineStr">
        <is>
          <t>a3</t>
        </is>
      </c>
      <c r="P7" s="32" t="inlineStr">
        <is>
          <t>c1</t>
        </is>
      </c>
      <c r="Q7" s="32" t="inlineStr">
        <is>
          <t>c1</t>
        </is>
      </c>
      <c r="R7" s="32" t="inlineStr">
        <is>
          <t>c3i</t>
        </is>
      </c>
      <c r="S7" s="32" t="inlineStr">
        <is>
          <t>a2</t>
        </is>
      </c>
      <c r="T7" s="32" t="inlineStr">
        <is>
          <t>a3b5</t>
        </is>
      </c>
      <c r="U7" s="32" t="inlineStr">
        <is>
          <t>a2</t>
        </is>
      </c>
    </row>
    <row r="8" ht="14.25" customHeight="1" s="114">
      <c r="A8" s="97" t="inlineStr">
        <is>
          <t>M7</t>
        </is>
      </c>
      <c r="B8" s="97" t="n"/>
      <c r="C8" s="97" t="inlineStr">
        <is>
          <t>makhfi</t>
        </is>
      </c>
      <c r="D8" s="97" t="inlineStr">
        <is>
          <t>makhfi</t>
        </is>
      </c>
      <c r="E8" s="97" t="inlineStr">
        <is>
          <t>f</t>
        </is>
      </c>
      <c r="F8" s="97" t="n">
        <v>30</v>
      </c>
      <c r="G8" s="32" t="inlineStr">
        <is>
          <t>pack</t>
        </is>
      </c>
      <c r="H8" s="5" t="inlineStr">
        <is>
          <t>Makhfi original</t>
        </is>
      </c>
      <c r="I8" s="32" t="inlineStr">
        <is>
          <t>1 unrecognized?</t>
        </is>
      </c>
      <c r="J8" s="32" t="n"/>
      <c r="K8" s="32" t="inlineStr">
        <is>
          <t>20.11.20</t>
        </is>
      </c>
      <c r="L8" s="32" t="inlineStr">
        <is>
          <t>A1a4tzfA2a2fB3a1B4NB5PC6c3fC7a3D8a3b2D9a2</t>
        </is>
      </c>
      <c r="M8" s="32" t="inlineStr">
        <is>
          <t>a4tzf</t>
        </is>
      </c>
      <c r="N8" s="32" t="inlineStr">
        <is>
          <t>a2f</t>
        </is>
      </c>
      <c r="O8" s="32" t="inlineStr">
        <is>
          <t>a1</t>
        </is>
      </c>
      <c r="P8" s="32" t="inlineStr">
        <is>
          <t>N</t>
        </is>
      </c>
      <c r="Q8" s="32" t="inlineStr">
        <is>
          <t>P</t>
        </is>
      </c>
      <c r="R8" s="32" t="inlineStr">
        <is>
          <t>c3f</t>
        </is>
      </c>
      <c r="S8" s="32" t="inlineStr">
        <is>
          <t>a3</t>
        </is>
      </c>
      <c r="T8" s="32" t="inlineStr">
        <is>
          <t>a3b2</t>
        </is>
      </c>
      <c r="U8" s="32" t="inlineStr">
        <is>
          <t>a2</t>
        </is>
      </c>
    </row>
    <row r="9" ht="14.25" customHeight="1" s="114">
      <c r="A9" s="97" t="inlineStr">
        <is>
          <t>M8</t>
        </is>
      </c>
      <c r="B9" s="97" t="n"/>
      <c r="C9" s="97" t="inlineStr">
        <is>
          <t>makhfi</t>
        </is>
      </c>
      <c r="D9" s="97" t="inlineStr">
        <is>
          <t>makhfi</t>
        </is>
      </c>
      <c r="E9" s="97" t="n"/>
      <c r="F9" s="98" t="n">
        <v>30</v>
      </c>
      <c r="G9" s="32" t="inlineStr">
        <is>
          <t>pack</t>
        </is>
      </c>
      <c r="H9" s="5" t="inlineStr">
        <is>
          <t>Makhfi original</t>
        </is>
      </c>
      <c r="I9" s="32" t="inlineStr">
        <is>
          <t>2 unrecognized</t>
        </is>
      </c>
      <c r="J9" s="32" t="inlineStr">
        <is>
          <t>light-brown eyes</t>
        </is>
      </c>
      <c r="K9" s="32" t="inlineStr">
        <is>
          <t>20.11.20</t>
        </is>
      </c>
      <c r="L9" s="32" t="inlineStr">
        <is>
          <t>A1a5tyeA2a4eB3a2B4PB5PC6c3eC7aD8a3b3D9a4</t>
        </is>
      </c>
      <c r="M9" s="32" t="inlineStr">
        <is>
          <t>a5tye</t>
        </is>
      </c>
      <c r="N9" s="32" t="inlineStr">
        <is>
          <t>a4e</t>
        </is>
      </c>
      <c r="O9" s="32" t="inlineStr">
        <is>
          <t>a2</t>
        </is>
      </c>
      <c r="P9" s="32" t="inlineStr">
        <is>
          <t>P</t>
        </is>
      </c>
      <c r="Q9" s="32" t="inlineStr">
        <is>
          <t>P</t>
        </is>
      </c>
      <c r="R9" s="32" t="inlineStr">
        <is>
          <t>c3e</t>
        </is>
      </c>
      <c r="S9" s="32" t="inlineStr">
        <is>
          <t>a</t>
        </is>
      </c>
      <c r="T9" s="32" t="inlineStr">
        <is>
          <t>a3b3</t>
        </is>
      </c>
      <c r="U9" s="32" t="inlineStr">
        <is>
          <t>a4</t>
        </is>
      </c>
    </row>
    <row r="10" ht="14.25" customHeight="1" s="114">
      <c r="A10" s="97" t="inlineStr">
        <is>
          <t>M9</t>
        </is>
      </c>
      <c r="B10" s="97" t="n"/>
      <c r="C10" s="97" t="inlineStr">
        <is>
          <t>makhfi</t>
        </is>
      </c>
      <c r="D10" s="97" t="inlineStr">
        <is>
          <t>makhfi</t>
        </is>
      </c>
      <c r="E10" s="97" t="inlineStr">
        <is>
          <t>m</t>
        </is>
      </c>
      <c r="F10" s="98" t="n">
        <v>30</v>
      </c>
      <c r="G10" s="32" t="inlineStr">
        <is>
          <t>pack</t>
        </is>
      </c>
      <c r="H10" s="5" t="inlineStr">
        <is>
          <t>Makhfi original</t>
        </is>
      </c>
      <c r="I10" s="32" t="n"/>
      <c r="J10" s="32" t="inlineStr">
        <is>
          <t>very short tail, grandpa</t>
        </is>
      </c>
      <c r="K10" s="32" t="inlineStr">
        <is>
          <t>26.11.20</t>
        </is>
      </c>
      <c r="L10" s="32" t="inlineStr">
        <is>
          <t>A1b1fA2a4fB3a2B4c1B5c1C6c3fC7a3D8a4b3D9a4</t>
        </is>
      </c>
      <c r="M10" s="32" t="inlineStr">
        <is>
          <t>b1f</t>
        </is>
      </c>
      <c r="N10" s="32" t="inlineStr">
        <is>
          <t>a4f</t>
        </is>
      </c>
      <c r="O10" s="32" t="inlineStr">
        <is>
          <t>a2</t>
        </is>
      </c>
      <c r="P10" s="32" t="inlineStr">
        <is>
          <t>c1</t>
        </is>
      </c>
      <c r="Q10" s="32" t="inlineStr">
        <is>
          <t>c1</t>
        </is>
      </c>
      <c r="R10" s="32" t="inlineStr">
        <is>
          <t>c3f</t>
        </is>
      </c>
      <c r="S10" s="32" t="inlineStr">
        <is>
          <t>a3</t>
        </is>
      </c>
      <c r="T10" s="32" t="inlineStr">
        <is>
          <t>a4b3</t>
        </is>
      </c>
      <c r="U10" s="32" t="inlineStr">
        <is>
          <t>a4</t>
        </is>
      </c>
    </row>
    <row r="11" ht="14.25" customHeight="1" s="114">
      <c r="A11" s="97" t="inlineStr">
        <is>
          <t>M10</t>
        </is>
      </c>
      <c r="B11" s="97" t="n"/>
      <c r="C11" s="97" t="inlineStr">
        <is>
          <t>makhfi</t>
        </is>
      </c>
      <c r="D11" s="97" t="inlineStr">
        <is>
          <t>makhfi</t>
        </is>
      </c>
      <c r="E11" s="97" t="n"/>
      <c r="F11" s="98" t="n">
        <v>30</v>
      </c>
      <c r="G11" s="32" t="inlineStr">
        <is>
          <t>unknown</t>
        </is>
      </c>
      <c r="H11" s="32" t="n"/>
      <c r="I11" s="32" t="n"/>
      <c r="J11" s="32" t="n"/>
      <c r="K11" s="32" t="inlineStr">
        <is>
          <t>2.12.20</t>
        </is>
      </c>
      <c r="L11" s="32" t="inlineStr">
        <is>
          <t>A1c1yjA2a5jB3bB4dB5dC6c3iC7b1D8a3bPD9P</t>
        </is>
      </c>
      <c r="M11" s="32" t="inlineStr">
        <is>
          <t>c1yj</t>
        </is>
      </c>
      <c r="N11" s="32" t="inlineStr">
        <is>
          <t>a5j</t>
        </is>
      </c>
      <c r="O11" s="32" t="inlineStr">
        <is>
          <t>b</t>
        </is>
      </c>
      <c r="P11" s="32" t="inlineStr">
        <is>
          <t>d</t>
        </is>
      </c>
      <c r="Q11" s="32" t="inlineStr">
        <is>
          <t>d</t>
        </is>
      </c>
      <c r="R11" s="32" t="inlineStr">
        <is>
          <t>c3i</t>
        </is>
      </c>
      <c r="S11" s="32" t="inlineStr">
        <is>
          <t>b1</t>
        </is>
      </c>
      <c r="T11" s="32" t="inlineStr">
        <is>
          <t>a3bP</t>
        </is>
      </c>
      <c r="U11" s="32" t="inlineStr">
        <is>
          <t>P</t>
        </is>
      </c>
    </row>
    <row r="12" ht="14.25" customHeight="1" s="114">
      <c r="A12" s="7" t="inlineStr">
        <is>
          <t>M11H</t>
        </is>
      </c>
      <c r="B12" s="7" t="n"/>
      <c r="C12" s="7" t="inlineStr">
        <is>
          <t>makhfi, hazeka</t>
        </is>
      </c>
      <c r="D12" s="7" t="inlineStr">
        <is>
          <t>makhfi</t>
        </is>
      </c>
      <c r="E12" s="7" t="n"/>
      <c r="F12" s="8" t="inlineStr">
        <is>
          <t>25, 29</t>
        </is>
      </c>
      <c r="G12" s="10" t="inlineStr">
        <is>
          <t>unknown</t>
        </is>
      </c>
      <c r="H12" s="10" t="n"/>
      <c r="I12" s="10" t="n"/>
      <c r="J12" s="10" t="n"/>
      <c r="K12" s="10" t="inlineStr">
        <is>
          <t>10-13.11.20</t>
        </is>
      </c>
      <c r="L12" s="10" t="inlineStr">
        <is>
          <t>A2ah</t>
        </is>
      </c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 ht="14.25" customHeight="1" s="114">
      <c r="A13" s="97" t="inlineStr">
        <is>
          <t>H12</t>
        </is>
      </c>
      <c r="B13" s="97" t="n"/>
      <c r="C13" s="98" t="inlineStr">
        <is>
          <t>hazeka</t>
        </is>
      </c>
      <c r="D13" s="98" t="inlineStr">
        <is>
          <t>hazeka</t>
        </is>
      </c>
      <c r="E13" s="97" t="n"/>
      <c r="F13" s="98" t="n">
        <v>25</v>
      </c>
      <c r="G13" s="32" t="inlineStr">
        <is>
          <t>lone</t>
        </is>
      </c>
      <c r="H13" s="11" t="inlineStr">
        <is>
          <t>lone</t>
        </is>
      </c>
      <c r="I13" s="32" t="n"/>
      <c r="J13" s="32" t="inlineStr">
        <is>
          <t>golden-yellow fur</t>
        </is>
      </c>
      <c r="K13" s="32" t="inlineStr">
        <is>
          <t>19.10.20</t>
        </is>
      </c>
      <c r="L13" s="32" t="inlineStr">
        <is>
          <t>A1d2lA2a1klB3NB4NB5NC6PC7a1D8a5b5D9a1</t>
        </is>
      </c>
      <c r="M13" s="32" t="inlineStr">
        <is>
          <t>d2l</t>
        </is>
      </c>
      <c r="N13" s="32" t="inlineStr">
        <is>
          <t>a1k</t>
        </is>
      </c>
      <c r="O13" s="32" t="inlineStr">
        <is>
          <t>N</t>
        </is>
      </c>
      <c r="P13" s="32" t="inlineStr">
        <is>
          <t>N</t>
        </is>
      </c>
      <c r="Q13" s="32" t="inlineStr">
        <is>
          <t>N</t>
        </is>
      </c>
      <c r="R13" s="32" t="inlineStr">
        <is>
          <t>P</t>
        </is>
      </c>
      <c r="S13" s="32" t="inlineStr">
        <is>
          <t>a1</t>
        </is>
      </c>
      <c r="T13" s="32" t="inlineStr">
        <is>
          <t>a5b5</t>
        </is>
      </c>
      <c r="U13" s="32" t="inlineStr">
        <is>
          <t>a1</t>
        </is>
      </c>
    </row>
    <row r="14" ht="14.25" customHeight="1" s="114">
      <c r="A14" s="97" t="inlineStr">
        <is>
          <t>H13S</t>
        </is>
      </c>
      <c r="B14" s="97" t="n"/>
      <c r="C14" s="98" t="inlineStr">
        <is>
          <t>Hazeka, saki</t>
        </is>
      </c>
      <c r="D14" s="98" t="inlineStr">
        <is>
          <t>hazeka</t>
        </is>
      </c>
      <c r="E14" s="97" t="n"/>
      <c r="F14" s="98" t="inlineStr">
        <is>
          <t xml:space="preserve"> 21, 11</t>
        </is>
      </c>
      <c r="G14" s="32" t="inlineStr">
        <is>
          <t>lone</t>
        </is>
      </c>
      <c r="H14" s="12" t="inlineStr">
        <is>
          <t>lone</t>
        </is>
      </c>
      <c r="I14" s="32" t="n"/>
      <c r="J14" s="32" t="n"/>
      <c r="K14" s="32" t="inlineStr">
        <is>
          <t>6-7.10.20</t>
        </is>
      </c>
      <c r="L14" s="32" t="inlineStr">
        <is>
          <t>A1a1txiA2a3iB3bB4c1aB5c1aC6c1gC7b2D8a4b5D9a4</t>
        </is>
      </c>
      <c r="M14" s="32" t="inlineStr">
        <is>
          <t>a1txi</t>
        </is>
      </c>
      <c r="N14" s="32" t="inlineStr">
        <is>
          <t>a3i</t>
        </is>
      </c>
      <c r="O14" s="32" t="inlineStr">
        <is>
          <t>b</t>
        </is>
      </c>
      <c r="P14" s="32" t="inlineStr">
        <is>
          <t>c1a</t>
        </is>
      </c>
      <c r="Q14" s="32" t="inlineStr">
        <is>
          <t>a1a</t>
        </is>
      </c>
      <c r="R14" s="32" t="inlineStr">
        <is>
          <t>c1g</t>
        </is>
      </c>
      <c r="S14" s="32" t="inlineStr">
        <is>
          <t>b2</t>
        </is>
      </c>
      <c r="T14" s="32" t="inlineStr">
        <is>
          <t>a4b5</t>
        </is>
      </c>
      <c r="U14" s="32" t="inlineStr">
        <is>
          <t>a4</t>
        </is>
      </c>
    </row>
    <row r="15" ht="15" customHeight="1" s="114">
      <c r="A15" s="98" t="inlineStr">
        <is>
          <t>H99</t>
        </is>
      </c>
      <c r="B15" s="32" t="n"/>
      <c r="C15" s="32" t="inlineStr">
        <is>
          <t>Hazeka</t>
        </is>
      </c>
      <c r="D15" s="98" t="inlineStr">
        <is>
          <t>hazeka</t>
        </is>
      </c>
      <c r="E15" s="32" t="n"/>
      <c r="F15" s="98" t="n">
        <v>24</v>
      </c>
      <c r="G15" s="32" t="n"/>
      <c r="H15" s="32" t="n"/>
      <c r="I15" s="32" t="n"/>
      <c r="J15" s="32" t="n"/>
      <c r="K15" s="32" t="inlineStr">
        <is>
          <t>3.4.20</t>
        </is>
      </c>
      <c r="L15" s="32" t="inlineStr">
        <is>
          <t>A1a4vyfA2a1fB3NB4PB5a2bC6c1gC7PD8a4D9a2</t>
        </is>
      </c>
      <c r="M15" s="32" t="inlineStr">
        <is>
          <t>a4vyf</t>
        </is>
      </c>
      <c r="N15" s="32" t="inlineStr">
        <is>
          <t>a1f</t>
        </is>
      </c>
      <c r="O15" s="32" t="inlineStr">
        <is>
          <t>N</t>
        </is>
      </c>
      <c r="P15" s="32" t="inlineStr">
        <is>
          <t>P</t>
        </is>
      </c>
      <c r="Q15" s="32" t="inlineStr">
        <is>
          <t>a2b</t>
        </is>
      </c>
      <c r="R15" s="32" t="inlineStr">
        <is>
          <t>c1g</t>
        </is>
      </c>
      <c r="S15" s="32" t="inlineStr">
        <is>
          <t>P</t>
        </is>
      </c>
      <c r="T15" s="32" t="inlineStr">
        <is>
          <t>a4</t>
        </is>
      </c>
      <c r="U15" s="32" t="inlineStr">
        <is>
          <t>a2</t>
        </is>
      </c>
    </row>
    <row r="16" ht="14.25" customHeight="1" s="114">
      <c r="A16" s="97" t="inlineStr">
        <is>
          <t>H14</t>
        </is>
      </c>
      <c r="B16" s="97" t="n"/>
      <c r="C16" s="98" t="inlineStr">
        <is>
          <t>hazeka</t>
        </is>
      </c>
      <c r="D16" s="98" t="inlineStr">
        <is>
          <t>hazeka</t>
        </is>
      </c>
      <c r="E16" s="97" t="n"/>
      <c r="F16" s="98" t="n">
        <v>22</v>
      </c>
      <c r="G16" s="32" t="inlineStr">
        <is>
          <t>lone</t>
        </is>
      </c>
      <c r="H16" s="11" t="inlineStr">
        <is>
          <t>lone</t>
        </is>
      </c>
      <c r="I16" s="32" t="n"/>
      <c r="J16" s="32" t="n"/>
      <c r="K16" s="32" t="inlineStr">
        <is>
          <t>24.11.20</t>
        </is>
      </c>
      <c r="L16" s="32" t="inlineStr">
        <is>
          <t>A1a4vyfA2a3fB3a2B4c1B5c1C6c3gC7c3D8a3D9N</t>
        </is>
      </c>
      <c r="M16" s="32" t="inlineStr">
        <is>
          <t>a4vyf</t>
        </is>
      </c>
      <c r="N16" s="32" t="inlineStr">
        <is>
          <t>a3f</t>
        </is>
      </c>
      <c r="O16" s="32" t="inlineStr">
        <is>
          <t>a2</t>
        </is>
      </c>
      <c r="P16" s="32" t="inlineStr">
        <is>
          <t>c1</t>
        </is>
      </c>
      <c r="Q16" s="32" t="inlineStr">
        <is>
          <t>c1</t>
        </is>
      </c>
      <c r="R16" s="32" t="inlineStr">
        <is>
          <t>c3g</t>
        </is>
      </c>
      <c r="S16" s="32" t="inlineStr">
        <is>
          <t>a3</t>
        </is>
      </c>
      <c r="T16" s="32" t="inlineStr">
        <is>
          <t>a3</t>
        </is>
      </c>
      <c r="U16" s="32" t="inlineStr">
        <is>
          <t>N</t>
        </is>
      </c>
    </row>
    <row r="17" ht="14.25" customHeight="1" s="114">
      <c r="A17" s="97" t="inlineStr">
        <is>
          <t>H15m</t>
        </is>
      </c>
      <c r="B17" s="97" t="n"/>
      <c r="C17" s="97" t="inlineStr">
        <is>
          <t>makhfi, hazeka</t>
        </is>
      </c>
      <c r="D17" s="98" t="inlineStr">
        <is>
          <t>hazeka</t>
        </is>
      </c>
      <c r="E17" s="97" t="inlineStr">
        <is>
          <t>f</t>
        </is>
      </c>
      <c r="F17" s="98" t="inlineStr">
        <is>
          <t>21, 22, 28</t>
        </is>
      </c>
      <c r="G17" s="32" t="inlineStr">
        <is>
          <t>lone</t>
        </is>
      </c>
      <c r="H17" s="11" t="inlineStr">
        <is>
          <t>lone</t>
        </is>
      </c>
      <c r="I17" s="32" t="n"/>
      <c r="J17" s="32" t="n"/>
      <c r="K17" s="32" t="inlineStr">
        <is>
          <t>27.8.20-28.9.20</t>
        </is>
      </c>
      <c r="L17" s="32" t="inlineStr">
        <is>
          <t>A1b1iA2a1iB3a1B4b2B5a2C6c4gC7a4D8a4b5D9a2</t>
        </is>
      </c>
      <c r="M17" s="32" t="inlineStr">
        <is>
          <t>b1i</t>
        </is>
      </c>
      <c r="N17" s="32" t="inlineStr">
        <is>
          <t>a1i</t>
        </is>
      </c>
      <c r="O17" s="32" t="inlineStr">
        <is>
          <t>a1</t>
        </is>
      </c>
      <c r="P17" s="32" t="inlineStr">
        <is>
          <t>b2</t>
        </is>
      </c>
      <c r="Q17" s="32" t="inlineStr">
        <is>
          <t>a2</t>
        </is>
      </c>
      <c r="R17" s="32" t="inlineStr">
        <is>
          <t>c4g</t>
        </is>
      </c>
      <c r="S17" s="32" t="inlineStr">
        <is>
          <t>a4</t>
        </is>
      </c>
      <c r="T17" s="32" t="inlineStr">
        <is>
          <t>a4b5</t>
        </is>
      </c>
      <c r="U17" s="32" t="inlineStr">
        <is>
          <t>a2</t>
        </is>
      </c>
    </row>
    <row r="18" ht="14.25" customHeight="1" s="114">
      <c r="A18" s="97" t="inlineStr">
        <is>
          <t>K16</t>
        </is>
      </c>
      <c r="B18" s="97" t="n"/>
      <c r="C18" s="98" t="inlineStr">
        <is>
          <t>Keshet-Yonatan</t>
        </is>
      </c>
      <c r="D18" s="98" t="inlineStr">
        <is>
          <t>Keshet-Yonatan</t>
        </is>
      </c>
      <c r="E18" s="97" t="n"/>
      <c r="F18" s="98" t="n">
        <v>2</v>
      </c>
      <c r="G18" s="32" t="inlineStr">
        <is>
          <t>lone</t>
        </is>
      </c>
      <c r="H18" s="11" t="inlineStr">
        <is>
          <t>lone</t>
        </is>
      </c>
      <c r="I18" s="32" t="n"/>
      <c r="J18" s="32" t="n"/>
      <c r="K18" s="32" t="inlineStr">
        <is>
          <t>8.9.20</t>
        </is>
      </c>
      <c r="L18" s="32" t="inlineStr">
        <is>
          <t>A1b1iA2a3iB3NB4NB5NC6b1ic7cD8a4b5D9a2</t>
        </is>
      </c>
      <c r="M18" s="32" t="inlineStr">
        <is>
          <t>b1i</t>
        </is>
      </c>
      <c r="N18" s="32" t="inlineStr">
        <is>
          <t>a3i</t>
        </is>
      </c>
      <c r="O18" s="32" t="inlineStr">
        <is>
          <t>N</t>
        </is>
      </c>
      <c r="P18" s="32" t="inlineStr">
        <is>
          <t>N</t>
        </is>
      </c>
      <c r="Q18" s="32" t="inlineStr">
        <is>
          <t>N</t>
        </is>
      </c>
      <c r="R18" s="32" t="inlineStr">
        <is>
          <t>b1i</t>
        </is>
      </c>
      <c r="S18" s="32" t="inlineStr">
        <is>
          <t>c</t>
        </is>
      </c>
      <c r="T18" s="32" t="inlineStr">
        <is>
          <t>a4b5</t>
        </is>
      </c>
      <c r="U18" s="32" t="inlineStr">
        <is>
          <t>a2</t>
        </is>
      </c>
    </row>
    <row r="19" ht="14.25" customHeight="1" s="114">
      <c r="A19" s="97" t="inlineStr">
        <is>
          <t>K17f</t>
        </is>
      </c>
      <c r="B19" s="97" t="n"/>
      <c r="C19" s="98" t="inlineStr">
        <is>
          <t>Keshet-Yonatan, Firing-Zone</t>
        </is>
      </c>
      <c r="D19" s="98" t="inlineStr">
        <is>
          <t>Keshet-Yonatan</t>
        </is>
      </c>
      <c r="E19" s="97" t="inlineStr">
        <is>
          <t>m</t>
        </is>
      </c>
      <c r="F19" s="98" t="inlineStr">
        <is>
          <t>3, 51</t>
        </is>
      </c>
      <c r="G19" s="32" t="inlineStr">
        <is>
          <t>lone</t>
        </is>
      </c>
      <c r="H19" s="11" t="inlineStr">
        <is>
          <t>lone</t>
        </is>
      </c>
      <c r="I19" s="32" t="n"/>
      <c r="J19" s="32" t="inlineStr">
        <is>
          <t>2 light circels on the cheek</t>
        </is>
      </c>
      <c r="K19" s="32" t="inlineStr">
        <is>
          <t>24.8.20-28.10.20</t>
        </is>
      </c>
      <c r="L19" s="32" t="inlineStr">
        <is>
          <t>A1c2xNA2a5iB3a2B4c1B5c1C6b1gC7ND8a4b5D9a2</t>
        </is>
      </c>
      <c r="M19" s="32" t="inlineStr">
        <is>
          <t>c2xN</t>
        </is>
      </c>
      <c r="N19" s="32" t="inlineStr">
        <is>
          <t>a5i</t>
        </is>
      </c>
      <c r="O19" s="32" t="inlineStr">
        <is>
          <t>a2</t>
        </is>
      </c>
      <c r="P19" s="32" t="inlineStr">
        <is>
          <t>c1</t>
        </is>
      </c>
      <c r="Q19" s="32" t="inlineStr">
        <is>
          <t>c1</t>
        </is>
      </c>
      <c r="R19" s="32" t="inlineStr">
        <is>
          <t>b1g</t>
        </is>
      </c>
      <c r="S19" s="32" t="inlineStr">
        <is>
          <t>N</t>
        </is>
      </c>
      <c r="T19" s="32" t="inlineStr">
        <is>
          <t>a4b5</t>
        </is>
      </c>
      <c r="U19" s="32" t="inlineStr">
        <is>
          <t>a2</t>
        </is>
      </c>
    </row>
    <row r="20" ht="14.25" customHeight="1" s="114">
      <c r="A20" s="97" t="inlineStr">
        <is>
          <t>S18</t>
        </is>
      </c>
      <c r="B20" s="97" t="n"/>
      <c r="C20" s="98" t="inlineStr">
        <is>
          <t>Saki</t>
        </is>
      </c>
      <c r="D20" s="98" t="inlineStr">
        <is>
          <t>Saki</t>
        </is>
      </c>
      <c r="E20" s="97" t="inlineStr">
        <is>
          <t>f</t>
        </is>
      </c>
      <c r="F20" s="98" t="n">
        <v>11</v>
      </c>
      <c r="G20" s="32" t="inlineStr">
        <is>
          <t>lone</t>
        </is>
      </c>
      <c r="H20" s="12" t="inlineStr">
        <is>
          <t>lone</t>
        </is>
      </c>
      <c r="I20" s="32" t="n"/>
      <c r="J20" s="32" t="n"/>
      <c r="K20" s="32" t="inlineStr">
        <is>
          <t>25.11.20</t>
        </is>
      </c>
      <c r="L20" s="32" t="inlineStr">
        <is>
          <t>A1a1vxeA2a10eB3bB4c2aB5c2aC6c1fC7b1D8a4b5D9a4</t>
        </is>
      </c>
      <c r="M20" s="32" t="inlineStr">
        <is>
          <t>a1vxe</t>
        </is>
      </c>
      <c r="N20" s="32" t="inlineStr">
        <is>
          <t>a10e</t>
        </is>
      </c>
      <c r="O20" s="32" t="inlineStr">
        <is>
          <t>b</t>
        </is>
      </c>
      <c r="P20" s="32" t="inlineStr">
        <is>
          <t>c2a</t>
        </is>
      </c>
      <c r="Q20" s="32" t="inlineStr">
        <is>
          <t>c2a</t>
        </is>
      </c>
      <c r="R20" s="32" t="inlineStr">
        <is>
          <t>c1f</t>
        </is>
      </c>
      <c r="S20" s="32" t="inlineStr">
        <is>
          <t>b1</t>
        </is>
      </c>
      <c r="T20" s="32" t="inlineStr">
        <is>
          <t>a4b5</t>
        </is>
      </c>
      <c r="U20" s="32" t="inlineStr">
        <is>
          <t>a4</t>
        </is>
      </c>
    </row>
    <row r="21" ht="14.25" customHeight="1" s="114">
      <c r="A21" s="97" t="inlineStr">
        <is>
          <t>S100</t>
        </is>
      </c>
      <c r="B21" s="97" t="n"/>
      <c r="C21" s="98" t="inlineStr">
        <is>
          <t>Saki</t>
        </is>
      </c>
      <c r="D21" s="98" t="inlineStr">
        <is>
          <t>Saki</t>
        </is>
      </c>
      <c r="E21" s="97" t="inlineStr">
        <is>
          <t>f</t>
        </is>
      </c>
      <c r="F21" s="98" t="n">
        <v>11</v>
      </c>
      <c r="G21" s="32" t="inlineStr">
        <is>
          <t>lone</t>
        </is>
      </c>
      <c r="H21" s="11" t="inlineStr">
        <is>
          <t>lone</t>
        </is>
      </c>
      <c r="I21" s="32" t="n"/>
      <c r="J21" s="32" t="n"/>
      <c r="K21" s="32" t="inlineStr">
        <is>
          <t>30.11.20</t>
        </is>
      </c>
      <c r="L21" s="32" t="inlineStr">
        <is>
          <t>A1a2txfA2a1eB3a2bB4c1bB5c1bC6c1gC7b1D8a4b5D9a4</t>
        </is>
      </c>
      <c r="M21" s="32" t="inlineStr">
        <is>
          <t>a2txf</t>
        </is>
      </c>
      <c r="N21" s="32" t="inlineStr">
        <is>
          <t>a1e</t>
        </is>
      </c>
      <c r="O21" s="32" t="inlineStr">
        <is>
          <t>a2b</t>
        </is>
      </c>
      <c r="P21" s="32" t="inlineStr">
        <is>
          <t>c1b</t>
        </is>
      </c>
      <c r="Q21" s="32" t="inlineStr">
        <is>
          <t>c1b</t>
        </is>
      </c>
      <c r="R21" s="32" t="inlineStr">
        <is>
          <t>c1g</t>
        </is>
      </c>
      <c r="S21" s="32" t="inlineStr">
        <is>
          <t>b1</t>
        </is>
      </c>
      <c r="T21" s="32" t="inlineStr">
        <is>
          <t>a4b5</t>
        </is>
      </c>
      <c r="U21" s="32" t="inlineStr">
        <is>
          <t>a4</t>
        </is>
      </c>
    </row>
    <row r="22" ht="14.25" customHeight="1" s="114">
      <c r="A22" s="97" t="inlineStr">
        <is>
          <t>S19</t>
        </is>
      </c>
      <c r="B22" s="97" t="n"/>
      <c r="C22" s="98" t="inlineStr">
        <is>
          <t>Saki</t>
        </is>
      </c>
      <c r="D22" s="98" t="inlineStr">
        <is>
          <t>Saki</t>
        </is>
      </c>
      <c r="E22" s="97" t="inlineStr">
        <is>
          <t>?</t>
        </is>
      </c>
      <c r="F22" s="98" t="n">
        <v>12</v>
      </c>
      <c r="G22" s="32" t="inlineStr">
        <is>
          <t>lone</t>
        </is>
      </c>
      <c r="H22" s="11" t="inlineStr">
        <is>
          <t>lone</t>
        </is>
      </c>
      <c r="I22" s="32" t="n"/>
      <c r="J22" s="32" t="n"/>
      <c r="K22" s="32" t="inlineStr">
        <is>
          <t>10.12.20</t>
        </is>
      </c>
      <c r="L22" s="32" t="inlineStr">
        <is>
          <t>A1a4txfA2a3fB3NB4PB5NC6c1gC7cD8a4b5D9a2</t>
        </is>
      </c>
      <c r="M22" s="32" t="inlineStr">
        <is>
          <t>a4txf</t>
        </is>
      </c>
      <c r="N22" s="32" t="inlineStr">
        <is>
          <t>a3f</t>
        </is>
      </c>
      <c r="O22" s="32" t="inlineStr">
        <is>
          <t>N</t>
        </is>
      </c>
      <c r="P22" s="32" t="inlineStr">
        <is>
          <t>P</t>
        </is>
      </c>
      <c r="Q22" s="32" t="inlineStr">
        <is>
          <t>N</t>
        </is>
      </c>
      <c r="R22" s="32" t="inlineStr">
        <is>
          <t>c1g</t>
        </is>
      </c>
      <c r="S22" s="32" t="inlineStr">
        <is>
          <t>c</t>
        </is>
      </c>
      <c r="T22" s="32" t="inlineStr">
        <is>
          <t>a4b5</t>
        </is>
      </c>
      <c r="U22" s="32" t="inlineStr">
        <is>
          <t>a2</t>
        </is>
      </c>
    </row>
    <row r="23" ht="14.25" customHeight="1" s="114">
      <c r="A23" s="97" t="inlineStr">
        <is>
          <t>S20</t>
        </is>
      </c>
      <c r="B23" s="97" t="n"/>
      <c r="C23" s="98" t="inlineStr">
        <is>
          <t>Saki</t>
        </is>
      </c>
      <c r="D23" s="98" t="inlineStr">
        <is>
          <t>Saki</t>
        </is>
      </c>
      <c r="E23" s="97" t="inlineStr">
        <is>
          <t>f</t>
        </is>
      </c>
      <c r="F23" s="98" t="n">
        <v>15</v>
      </c>
      <c r="G23" s="32" t="inlineStr">
        <is>
          <t>lone</t>
        </is>
      </c>
      <c r="H23" s="11" t="inlineStr">
        <is>
          <t>lone</t>
        </is>
      </c>
      <c r="I23" s="32" t="n"/>
      <c r="J23" s="32" t="n"/>
      <c r="K23" s="32" t="inlineStr">
        <is>
          <t>15.10.20</t>
        </is>
      </c>
      <c r="L23" s="32" t="inlineStr">
        <is>
          <t>A1b3jA2a1jB3a2aB4c2aB5c2aC6c2gC7b1D8a4b1D9a2</t>
        </is>
      </c>
      <c r="M23" s="32" t="inlineStr">
        <is>
          <t>b3j</t>
        </is>
      </c>
      <c r="N23" s="32" t="inlineStr">
        <is>
          <t>a1j</t>
        </is>
      </c>
      <c r="O23" s="32" t="inlineStr">
        <is>
          <t>a2a</t>
        </is>
      </c>
      <c r="P23" s="32" t="inlineStr">
        <is>
          <t>c2a</t>
        </is>
      </c>
      <c r="Q23" s="32" t="inlineStr">
        <is>
          <t>c2a</t>
        </is>
      </c>
      <c r="R23" s="32" t="inlineStr">
        <is>
          <t>c2g</t>
        </is>
      </c>
      <c r="S23" s="32" t="inlineStr">
        <is>
          <t>b1</t>
        </is>
      </c>
      <c r="T23" s="32" t="inlineStr">
        <is>
          <t>a4b1</t>
        </is>
      </c>
      <c r="U23" s="32" t="inlineStr">
        <is>
          <t>a2</t>
        </is>
      </c>
    </row>
    <row r="24" ht="14.25" customHeight="1" s="114">
      <c r="A24" s="99" t="inlineStr">
        <is>
          <t>F21s</t>
        </is>
      </c>
      <c r="B24" s="97" t="n"/>
      <c r="C24" s="98" t="inlineStr">
        <is>
          <t>Saki, Firing-Zone</t>
        </is>
      </c>
      <c r="D24" s="98" t="inlineStr">
        <is>
          <t>Firing-Zone</t>
        </is>
      </c>
      <c r="E24" s="97" t="inlineStr">
        <is>
          <t>?</t>
        </is>
      </c>
      <c r="F24" s="98" t="inlineStr">
        <is>
          <t>12, 53</t>
        </is>
      </c>
      <c r="G24" s="32" t="inlineStr">
        <is>
          <t>group</t>
        </is>
      </c>
      <c r="H24" s="100" t="n"/>
      <c r="I24" s="32" t="inlineStr">
        <is>
          <t>F23, F24</t>
        </is>
      </c>
      <c r="J24" s="32" t="n"/>
      <c r="K24" s="32" t="inlineStr">
        <is>
          <t>03.11.20-13.12.20</t>
        </is>
      </c>
      <c r="L24" s="101" t="n"/>
      <c r="M24" s="101" t="n"/>
      <c r="N24" s="101" t="n"/>
      <c r="O24" s="101" t="n"/>
      <c r="P24" s="101" t="n"/>
      <c r="Q24" s="101" t="n"/>
      <c r="R24" s="101" t="n"/>
      <c r="S24" s="101" t="n"/>
      <c r="T24" s="101" t="n"/>
      <c r="U24" s="101" t="n"/>
    </row>
    <row r="25" ht="14.25" customHeight="1" s="114">
      <c r="A25" s="97" t="inlineStr">
        <is>
          <t>F22</t>
        </is>
      </c>
      <c r="B25" s="97" t="n"/>
      <c r="C25" s="98" t="inlineStr">
        <is>
          <t>Firing-Zone</t>
        </is>
      </c>
      <c r="D25" s="98" t="inlineStr">
        <is>
          <t>Firing-Zone</t>
        </is>
      </c>
      <c r="E25" s="97" t="n"/>
      <c r="F25" s="98" t="n">
        <v>53</v>
      </c>
      <c r="G25" s="32" t="inlineStr">
        <is>
          <t>unknown</t>
        </is>
      </c>
      <c r="H25" s="15" t="inlineStr">
        <is>
          <t>?</t>
        </is>
      </c>
      <c r="I25" s="32" t="n"/>
      <c r="J25" s="32" t="n"/>
      <c r="K25" s="32" t="inlineStr">
        <is>
          <t>03.11.20</t>
        </is>
      </c>
      <c r="L25" s="32" t="inlineStr">
        <is>
          <t>A1a2tyjA2a4jB3a2B4PB5PC6c3iC7ND8a4b4D9a2</t>
        </is>
      </c>
      <c r="M25" s="32" t="inlineStr">
        <is>
          <t>a2tyj</t>
        </is>
      </c>
      <c r="N25" s="32" t="inlineStr">
        <is>
          <t>a4j</t>
        </is>
      </c>
      <c r="O25" s="32" t="inlineStr">
        <is>
          <t>a2</t>
        </is>
      </c>
      <c r="P25" s="32" t="inlineStr">
        <is>
          <t>P</t>
        </is>
      </c>
      <c r="Q25" s="32" t="inlineStr">
        <is>
          <t>P</t>
        </is>
      </c>
      <c r="R25" s="32" t="inlineStr">
        <is>
          <t>c3i</t>
        </is>
      </c>
      <c r="S25" s="32" t="inlineStr">
        <is>
          <t>N</t>
        </is>
      </c>
      <c r="T25" s="32" t="inlineStr">
        <is>
          <t>a4b4</t>
        </is>
      </c>
      <c r="U25" s="32" t="inlineStr">
        <is>
          <t>a2</t>
        </is>
      </c>
    </row>
    <row r="26" ht="14.25" customHeight="1" s="114">
      <c r="A26" s="97" t="inlineStr">
        <is>
          <t>F23</t>
        </is>
      </c>
      <c r="B26" s="97" t="n"/>
      <c r="C26" s="98" t="inlineStr">
        <is>
          <t>Firing-Zone</t>
        </is>
      </c>
      <c r="D26" s="98" t="inlineStr">
        <is>
          <t>Firing-Zone</t>
        </is>
      </c>
      <c r="E26" s="97" t="n"/>
      <c r="F26" s="98" t="n">
        <v>53</v>
      </c>
      <c r="G26" s="32" t="inlineStr">
        <is>
          <t>group</t>
        </is>
      </c>
      <c r="H26" s="16" t="n"/>
      <c r="I26" s="32" t="inlineStr">
        <is>
          <t>F21s, F24</t>
        </is>
      </c>
      <c r="J26" s="32" t="inlineStr">
        <is>
          <t>collared</t>
        </is>
      </c>
      <c r="K26" s="32" t="inlineStr">
        <is>
          <t>03.11.20</t>
        </is>
      </c>
      <c r="L26" s="32" t="inlineStr">
        <is>
          <t>A1z1iA2a5iB3PB4Pb5NC6NC7ND8ND9N</t>
        </is>
      </c>
      <c r="M26" s="32" t="inlineStr">
        <is>
          <t>z1i</t>
        </is>
      </c>
      <c r="N26" s="32" t="inlineStr">
        <is>
          <t>a5i</t>
        </is>
      </c>
      <c r="O26" s="32" t="inlineStr">
        <is>
          <t>P</t>
        </is>
      </c>
      <c r="P26" s="32" t="inlineStr">
        <is>
          <t>P</t>
        </is>
      </c>
      <c r="Q26" s="32" t="inlineStr">
        <is>
          <t>N</t>
        </is>
      </c>
      <c r="R26" s="32" t="inlineStr">
        <is>
          <t>N</t>
        </is>
      </c>
      <c r="S26" s="32" t="inlineStr">
        <is>
          <t>N</t>
        </is>
      </c>
      <c r="T26" s="32" t="inlineStr">
        <is>
          <t>N</t>
        </is>
      </c>
      <c r="U26" s="32" t="inlineStr">
        <is>
          <t>N</t>
        </is>
      </c>
    </row>
    <row r="27" ht="14.25" customHeight="1" s="114">
      <c r="A27" s="97" t="inlineStr">
        <is>
          <t>F24</t>
        </is>
      </c>
      <c r="B27" s="97" t="n"/>
      <c r="C27" s="98" t="inlineStr">
        <is>
          <t>Firing-Zone</t>
        </is>
      </c>
      <c r="D27" s="98" t="inlineStr">
        <is>
          <t>Firing-Zone</t>
        </is>
      </c>
      <c r="E27" s="97" t="n"/>
      <c r="F27" s="98" t="n">
        <v>53</v>
      </c>
      <c r="G27" s="32" t="inlineStr">
        <is>
          <t>group</t>
        </is>
      </c>
      <c r="H27" s="15" t="n"/>
      <c r="I27" s="32" t="inlineStr">
        <is>
          <t>F23, F21s</t>
        </is>
      </c>
      <c r="J27" s="32" t="inlineStr">
        <is>
          <t>red collar</t>
        </is>
      </c>
      <c r="K27" s="32" t="inlineStr">
        <is>
          <t>03.11.20</t>
        </is>
      </c>
      <c r="L27" s="32" t="inlineStr">
        <is>
          <t>A1z1hA2a5fB3NB4NB5NC6hC7ND8a4D9N</t>
        </is>
      </c>
      <c r="M27" s="32" t="inlineStr">
        <is>
          <t>z1h</t>
        </is>
      </c>
      <c r="N27" s="32" t="inlineStr">
        <is>
          <t>a5f</t>
        </is>
      </c>
      <c r="O27" s="32" t="inlineStr">
        <is>
          <t>N</t>
        </is>
      </c>
      <c r="P27" s="32" t="inlineStr">
        <is>
          <t>N</t>
        </is>
      </c>
      <c r="Q27" s="32" t="inlineStr">
        <is>
          <t>N</t>
        </is>
      </c>
      <c r="R27" s="32" t="inlineStr">
        <is>
          <t>h</t>
        </is>
      </c>
      <c r="S27" s="32" t="inlineStr">
        <is>
          <t>N</t>
        </is>
      </c>
      <c r="T27" s="32" t="inlineStr">
        <is>
          <t>a4</t>
        </is>
      </c>
      <c r="U27" s="32" t="inlineStr">
        <is>
          <t>N</t>
        </is>
      </c>
    </row>
    <row r="28" ht="14.25" customHeight="1" s="114">
      <c r="A28" s="17" t="inlineStr">
        <is>
          <t>F25</t>
        </is>
      </c>
      <c r="B28" s="17" t="n"/>
      <c r="C28" s="18" t="inlineStr">
        <is>
          <t>Firing-Zone</t>
        </is>
      </c>
      <c r="D28" s="18" t="inlineStr">
        <is>
          <t>Firing-Zone</t>
        </is>
      </c>
      <c r="E28" s="17" t="n"/>
      <c r="F28" s="18" t="n">
        <v>53</v>
      </c>
      <c r="G28" s="112" t="inlineStr">
        <is>
          <t>unknown</t>
        </is>
      </c>
      <c r="H28" s="20" t="inlineStr">
        <is>
          <t>?</t>
        </is>
      </c>
      <c r="I28" s="112" t="n"/>
      <c r="J28" s="112" t="inlineStr">
        <is>
          <t>grey</t>
        </is>
      </c>
      <c r="K28" s="112" t="inlineStr">
        <is>
          <t>06.11.20</t>
        </is>
      </c>
      <c r="L28" s="112" t="inlineStr">
        <is>
          <t>N</t>
        </is>
      </c>
      <c r="M28" s="112" t="inlineStr">
        <is>
          <t>N</t>
        </is>
      </c>
      <c r="N28" s="112" t="inlineStr">
        <is>
          <t>N</t>
        </is>
      </c>
      <c r="O28" s="112" t="inlineStr">
        <is>
          <t>N</t>
        </is>
      </c>
      <c r="P28" s="112" t="inlineStr">
        <is>
          <t>N</t>
        </is>
      </c>
      <c r="Q28" s="112" t="inlineStr">
        <is>
          <t>N</t>
        </is>
      </c>
      <c r="R28" s="112" t="inlineStr">
        <is>
          <t>N</t>
        </is>
      </c>
      <c r="S28" s="112" t="inlineStr">
        <is>
          <t>N</t>
        </is>
      </c>
      <c r="T28" s="112" t="inlineStr">
        <is>
          <t>N</t>
        </is>
      </c>
      <c r="U28" s="112" t="inlineStr">
        <is>
          <t>N</t>
        </is>
      </c>
      <c r="V28" s="112" t="n"/>
      <c r="W28" s="112" t="n"/>
      <c r="X28" s="112" t="n"/>
      <c r="Y28" s="112" t="n"/>
      <c r="Z28" s="112" t="n"/>
    </row>
    <row r="29" ht="14.25" customHeight="1" s="114">
      <c r="A29" s="97" t="inlineStr">
        <is>
          <t>F26</t>
        </is>
      </c>
      <c r="B29" s="97" t="n"/>
      <c r="C29" s="98" t="inlineStr">
        <is>
          <t>Firing-Zone</t>
        </is>
      </c>
      <c r="D29" s="98" t="inlineStr">
        <is>
          <t>Firing-Zone</t>
        </is>
      </c>
      <c r="E29" s="97" t="n"/>
      <c r="F29" s="98" t="n">
        <v>54</v>
      </c>
      <c r="G29" s="32" t="inlineStr">
        <is>
          <t>lone</t>
        </is>
      </c>
      <c r="H29" s="11" t="inlineStr">
        <is>
          <t>lone</t>
        </is>
      </c>
      <c r="I29" s="32" t="n"/>
      <c r="J29" s="32" t="inlineStr">
        <is>
          <t>massive, dark back and tail, brown eyes</t>
        </is>
      </c>
      <c r="K29" s="32" t="inlineStr">
        <is>
          <t>5-23.10.20</t>
        </is>
      </c>
      <c r="L29" s="32" t="inlineStr">
        <is>
          <t>A1b1gA2a2gB3a1bB4b1bB5a1bC6c3hC7a3D8a3D9N</t>
        </is>
      </c>
      <c r="M29" s="32" t="inlineStr">
        <is>
          <t>b1g</t>
        </is>
      </c>
      <c r="N29" s="32" t="inlineStr">
        <is>
          <t>a2g</t>
        </is>
      </c>
      <c r="O29" s="32" t="inlineStr">
        <is>
          <t>a1b</t>
        </is>
      </c>
      <c r="P29" s="32" t="inlineStr">
        <is>
          <t>b1b</t>
        </is>
      </c>
      <c r="Q29" s="32" t="inlineStr">
        <is>
          <t>a1b</t>
        </is>
      </c>
      <c r="R29" s="32" t="inlineStr">
        <is>
          <t>c3h</t>
        </is>
      </c>
      <c r="S29" s="32" t="inlineStr">
        <is>
          <t>a3</t>
        </is>
      </c>
      <c r="T29" s="32" t="inlineStr">
        <is>
          <t>a3</t>
        </is>
      </c>
      <c r="U29" s="32" t="inlineStr">
        <is>
          <t>N</t>
        </is>
      </c>
    </row>
    <row r="30" ht="14.25" customHeight="1" s="114">
      <c r="A30" s="97" t="inlineStr">
        <is>
          <t>Y27</t>
        </is>
      </c>
      <c r="B30" s="97" t="n"/>
      <c r="C30" s="98" t="inlineStr">
        <is>
          <t>Yehodiya</t>
        </is>
      </c>
      <c r="D30" s="98" t="inlineStr">
        <is>
          <t>Yehodiya</t>
        </is>
      </c>
      <c r="E30" s="97" t="n"/>
      <c r="F30" s="98" t="n">
        <v>7</v>
      </c>
      <c r="G30" s="32" t="inlineStr">
        <is>
          <t>pack</t>
        </is>
      </c>
      <c r="H30" s="13" t="inlineStr">
        <is>
          <t>dark pack</t>
        </is>
      </c>
      <c r="I30" s="13" t="inlineStr">
        <is>
          <t>seen together</t>
        </is>
      </c>
      <c r="J30" s="32" t="inlineStr">
        <is>
          <t>dark face</t>
        </is>
      </c>
      <c r="K30" s="32" t="inlineStr">
        <is>
          <t>22.11.20</t>
        </is>
      </c>
      <c r="L30" s="32" t="inlineStr">
        <is>
          <t>A1a3vzeA2a4eB3a2aB4dB5a1bC6c1eC7a1D8a1b1d9a2</t>
        </is>
      </c>
      <c r="M30" s="32" t="inlineStr">
        <is>
          <t>a3vze</t>
        </is>
      </c>
      <c r="N30" s="32" t="inlineStr">
        <is>
          <t>a4e</t>
        </is>
      </c>
      <c r="O30" s="32" t="inlineStr">
        <is>
          <t>a2a</t>
        </is>
      </c>
      <c r="P30" s="32" t="inlineStr">
        <is>
          <t>d</t>
        </is>
      </c>
      <c r="Q30" s="32" t="inlineStr">
        <is>
          <t>a1b</t>
        </is>
      </c>
      <c r="R30" s="32" t="inlineStr">
        <is>
          <t>c1e</t>
        </is>
      </c>
      <c r="S30" s="32" t="inlineStr">
        <is>
          <t>a1</t>
        </is>
      </c>
      <c r="T30" s="32" t="inlineStr">
        <is>
          <t>a1b1</t>
        </is>
      </c>
      <c r="U30" s="32" t="inlineStr">
        <is>
          <t>a2</t>
        </is>
      </c>
    </row>
    <row r="31" ht="15" customHeight="1" s="114">
      <c r="A31" s="98" t="inlineStr">
        <is>
          <t>Y101</t>
        </is>
      </c>
      <c r="B31" s="32" t="n"/>
      <c r="C31" s="98" t="inlineStr">
        <is>
          <t>Yehodiya</t>
        </is>
      </c>
      <c r="D31" s="98" t="inlineStr">
        <is>
          <t>Yehodiya</t>
        </is>
      </c>
      <c r="E31" s="32" t="n"/>
      <c r="F31" s="98" t="n">
        <v>6</v>
      </c>
      <c r="G31" s="32" t="inlineStr">
        <is>
          <t>lone</t>
        </is>
      </c>
      <c r="H31" s="11" t="inlineStr">
        <is>
          <t>lone</t>
        </is>
      </c>
      <c r="I31" s="32" t="n"/>
      <c r="J31" s="32" t="n"/>
      <c r="K31" s="32" t="inlineStr">
        <is>
          <t>6.12.20</t>
        </is>
      </c>
      <c r="L31" s="32" t="inlineStr">
        <is>
          <t>A1a4uzeA2a4eB3a2bB4c2bB5c2bC6c1eC7a3d8a3b5D9a2</t>
        </is>
      </c>
      <c r="M31" s="32" t="inlineStr">
        <is>
          <t>a4uze</t>
        </is>
      </c>
      <c r="N31" s="32" t="inlineStr">
        <is>
          <t>a4e</t>
        </is>
      </c>
      <c r="O31" s="32" t="inlineStr">
        <is>
          <t>a2b</t>
        </is>
      </c>
      <c r="P31" s="32" t="inlineStr">
        <is>
          <t>c2b</t>
        </is>
      </c>
      <c r="Q31" s="32" t="inlineStr">
        <is>
          <t>c2b</t>
        </is>
      </c>
      <c r="R31" s="32" t="inlineStr">
        <is>
          <t>c1e</t>
        </is>
      </c>
      <c r="S31" s="32" t="inlineStr">
        <is>
          <t>a3</t>
        </is>
      </c>
      <c r="T31" s="32" t="inlineStr">
        <is>
          <t>a3b5</t>
        </is>
      </c>
      <c r="U31" s="32" t="inlineStr">
        <is>
          <t>a2</t>
        </is>
      </c>
    </row>
    <row r="32" ht="14.25" customHeight="1" s="114">
      <c r="A32" s="97" t="inlineStr">
        <is>
          <t>Y28</t>
        </is>
      </c>
      <c r="B32" s="97" t="n"/>
      <c r="C32" s="98" t="inlineStr">
        <is>
          <t>Yehodiya</t>
        </is>
      </c>
      <c r="D32" s="98" t="inlineStr">
        <is>
          <t>Yehodiya</t>
        </is>
      </c>
      <c r="E32" s="97" t="n"/>
      <c r="F32" s="98" t="n">
        <v>7</v>
      </c>
      <c r="G32" s="32" t="inlineStr">
        <is>
          <t>lone</t>
        </is>
      </c>
      <c r="H32" s="11" t="inlineStr">
        <is>
          <t>lone</t>
        </is>
      </c>
      <c r="I32" s="32" t="n"/>
      <c r="J32" s="32" t="inlineStr">
        <is>
          <t xml:space="preserve">mostly honey </t>
        </is>
      </c>
      <c r="K32" s="32" t="inlineStr">
        <is>
          <t>18.9.20</t>
        </is>
      </c>
      <c r="L32" s="32" t="inlineStr">
        <is>
          <t>A1NA2a1kB3PPB4PPB5PC6ciC7ND8a6b5D9a1</t>
        </is>
      </c>
      <c r="M32" s="32" t="inlineStr">
        <is>
          <t>N</t>
        </is>
      </c>
      <c r="N32" s="32" t="inlineStr">
        <is>
          <t>a1k</t>
        </is>
      </c>
      <c r="O32" s="32" t="inlineStr">
        <is>
          <t>P</t>
        </is>
      </c>
      <c r="P32" s="32" t="inlineStr">
        <is>
          <t>P</t>
        </is>
      </c>
      <c r="Q32" s="32" t="inlineStr">
        <is>
          <t>P</t>
        </is>
      </c>
      <c r="R32" s="32" t="inlineStr">
        <is>
          <t>ci</t>
        </is>
      </c>
      <c r="S32" s="32" t="inlineStr">
        <is>
          <t>N</t>
        </is>
      </c>
      <c r="T32" s="32" t="inlineStr">
        <is>
          <t>a6b5</t>
        </is>
      </c>
      <c r="U32" s="32" t="inlineStr">
        <is>
          <t>a1</t>
        </is>
      </c>
    </row>
    <row r="33" ht="14.25" customHeight="1" s="114">
      <c r="A33" s="97" t="inlineStr">
        <is>
          <t>Y29</t>
        </is>
      </c>
      <c r="B33" s="97" t="n"/>
      <c r="C33" s="98" t="inlineStr">
        <is>
          <t>Yehodiya</t>
        </is>
      </c>
      <c r="D33" s="98" t="inlineStr">
        <is>
          <t>Yehodiya</t>
        </is>
      </c>
      <c r="E33" s="97" t="inlineStr">
        <is>
          <t>m</t>
        </is>
      </c>
      <c r="F33" s="98" t="n">
        <v>7</v>
      </c>
      <c r="G33" s="32" t="inlineStr">
        <is>
          <t>pack</t>
        </is>
      </c>
      <c r="H33" s="22" t="inlineStr">
        <is>
          <t>dark pack</t>
        </is>
      </c>
      <c r="I33" s="23" t="inlineStr">
        <is>
          <t>seen together</t>
        </is>
      </c>
      <c r="J33" s="32" t="n"/>
      <c r="K33" s="32" t="inlineStr">
        <is>
          <t>3.10.20-22.11.20</t>
        </is>
      </c>
      <c r="L33" s="32" t="inlineStr">
        <is>
          <t>A1c1zfA2a5fB3a3aB4c2aB5c2aC6c1fC7a1DD8a3b4D9a3</t>
        </is>
      </c>
      <c r="M33" s="32" t="inlineStr">
        <is>
          <t>c1zf</t>
        </is>
      </c>
      <c r="N33" s="32" t="inlineStr">
        <is>
          <t>a5f</t>
        </is>
      </c>
      <c r="O33" s="32" t="inlineStr">
        <is>
          <t>a3a</t>
        </is>
      </c>
      <c r="P33" s="32" t="inlineStr">
        <is>
          <t>c2a</t>
        </is>
      </c>
      <c r="Q33" s="32" t="inlineStr">
        <is>
          <t>c2a</t>
        </is>
      </c>
      <c r="R33" s="32" t="inlineStr">
        <is>
          <t>c1f</t>
        </is>
      </c>
      <c r="S33" s="32" t="inlineStr">
        <is>
          <t>a1</t>
        </is>
      </c>
      <c r="T33" s="32" t="inlineStr">
        <is>
          <t>a3b4</t>
        </is>
      </c>
      <c r="U33" s="32" t="inlineStr">
        <is>
          <t>a3</t>
        </is>
      </c>
    </row>
    <row r="34" ht="15.75" customHeight="1" s="114">
      <c r="A34" s="97" t="inlineStr">
        <is>
          <t>Y30</t>
        </is>
      </c>
      <c r="B34" s="97" t="n"/>
      <c r="C34" s="98" t="inlineStr">
        <is>
          <t>Yehodiya</t>
        </is>
      </c>
      <c r="D34" s="98" t="inlineStr">
        <is>
          <t>Yehodiya</t>
        </is>
      </c>
      <c r="E34" s="97" t="inlineStr">
        <is>
          <t>f</t>
        </is>
      </c>
      <c r="F34" s="98" t="n">
        <v>7</v>
      </c>
      <c r="G34" s="32" t="inlineStr">
        <is>
          <t>pack</t>
        </is>
      </c>
      <c r="H34" s="24" t="inlineStr">
        <is>
          <t>dark pack</t>
        </is>
      </c>
      <c r="I34" s="25" t="inlineStr">
        <is>
          <t>seen together</t>
        </is>
      </c>
      <c r="J34" s="26" t="inlineStr">
        <is>
          <t>dark face, dark mark o front-left leg</t>
        </is>
      </c>
      <c r="K34" s="32" t="inlineStr">
        <is>
          <t>16.10.20</t>
        </is>
      </c>
      <c r="L34" s="32" t="inlineStr">
        <is>
          <t>A1a4tzeA2NB3bB4dB5a1bC6a3eC7cD8a3D9N</t>
        </is>
      </c>
      <c r="M34" s="32" t="inlineStr">
        <is>
          <t>a4tze</t>
        </is>
      </c>
      <c r="N34" s="32" t="inlineStr">
        <is>
          <t>N</t>
        </is>
      </c>
      <c r="O34" s="32" t="inlineStr">
        <is>
          <t>b</t>
        </is>
      </c>
      <c r="P34" s="32" t="inlineStr">
        <is>
          <t>d</t>
        </is>
      </c>
      <c r="Q34" s="32" t="inlineStr">
        <is>
          <t>a1b</t>
        </is>
      </c>
      <c r="R34" s="32" t="inlineStr">
        <is>
          <t>a3e</t>
        </is>
      </c>
      <c r="S34" s="32" t="inlineStr">
        <is>
          <t>c</t>
        </is>
      </c>
      <c r="T34" s="32" t="inlineStr">
        <is>
          <t>a3</t>
        </is>
      </c>
      <c r="U34" s="32" t="inlineStr">
        <is>
          <t>N</t>
        </is>
      </c>
    </row>
    <row r="35" ht="14.25" customHeight="1" s="114">
      <c r="A35" s="97" t="inlineStr">
        <is>
          <t>Y31</t>
        </is>
      </c>
      <c r="B35" s="97" t="n"/>
      <c r="C35" s="98" t="inlineStr">
        <is>
          <t>Yehodiya</t>
        </is>
      </c>
      <c r="D35" s="98" t="inlineStr">
        <is>
          <t>Yehodiya</t>
        </is>
      </c>
      <c r="E35" s="97" t="inlineStr">
        <is>
          <t>f</t>
        </is>
      </c>
      <c r="F35" s="98" t="n">
        <v>7</v>
      </c>
      <c r="G35" s="32" t="inlineStr">
        <is>
          <t>pack</t>
        </is>
      </c>
      <c r="H35" s="24" t="inlineStr">
        <is>
          <t>dark pack</t>
        </is>
      </c>
      <c r="I35" s="25" t="inlineStr">
        <is>
          <t>seen together</t>
        </is>
      </c>
      <c r="J35" s="26" t="inlineStr">
        <is>
          <t>dark mark o front-right leg</t>
        </is>
      </c>
      <c r="K35" s="32" t="inlineStr">
        <is>
          <t>16.10.20-23.11.20</t>
        </is>
      </c>
      <c r="L35" s="32" t="inlineStr">
        <is>
          <t>A1a1uxfA2a3fB3bB4Rb1aLc2aB5Rb1aLc2a2aC6a5gC7b2D8a4b5D9a2</t>
        </is>
      </c>
      <c r="M35" s="32" t="inlineStr">
        <is>
          <t>a1uxf</t>
        </is>
      </c>
      <c r="N35" s="32" t="inlineStr">
        <is>
          <t>a3f</t>
        </is>
      </c>
      <c r="O35" s="32" t="inlineStr">
        <is>
          <t>b</t>
        </is>
      </c>
      <c r="P35" s="32" t="inlineStr">
        <is>
          <t>Rb1aLc2a</t>
        </is>
      </c>
      <c r="Q35" s="32" t="inlineStr">
        <is>
          <t>Rb1aLc2a</t>
        </is>
      </c>
      <c r="R35" s="32" t="inlineStr">
        <is>
          <t>a5g</t>
        </is>
      </c>
      <c r="S35" s="32" t="inlineStr">
        <is>
          <t>b2</t>
        </is>
      </c>
      <c r="T35" s="32" t="inlineStr">
        <is>
          <t>a4b5</t>
        </is>
      </c>
      <c r="U35" s="32" t="inlineStr">
        <is>
          <t>a2</t>
        </is>
      </c>
    </row>
    <row r="36" ht="14.25" customHeight="1" s="114">
      <c r="A36" s="97" t="inlineStr">
        <is>
          <t>Y32</t>
        </is>
      </c>
      <c r="B36" s="97" t="n"/>
      <c r="C36" s="98" t="inlineStr">
        <is>
          <t>Yehodiya</t>
        </is>
      </c>
      <c r="D36" s="98" t="inlineStr">
        <is>
          <t>Yehodiya</t>
        </is>
      </c>
      <c r="E36" s="97" t="inlineStr">
        <is>
          <t>f</t>
        </is>
      </c>
      <c r="F36" s="98" t="n">
        <v>7</v>
      </c>
      <c r="G36" s="32" t="inlineStr">
        <is>
          <t>pack</t>
        </is>
      </c>
      <c r="H36" s="25" t="inlineStr">
        <is>
          <t>dark pack</t>
        </is>
      </c>
      <c r="I36" s="25" t="inlineStr">
        <is>
          <t>seen together</t>
        </is>
      </c>
      <c r="J36" s="32" t="inlineStr">
        <is>
          <t>dark face</t>
        </is>
      </c>
      <c r="K36" s="32" t="inlineStr">
        <is>
          <t>16.10.20-28.11.20</t>
        </is>
      </c>
      <c r="L36" s="32" t="inlineStr">
        <is>
          <t>A1b2eA2Ra1eLa10eB3a4bB4c2bB5c2bC6c1gC7b1D8a3b1D9a2</t>
        </is>
      </c>
      <c r="M36" s="32" t="inlineStr">
        <is>
          <t>b2e</t>
        </is>
      </c>
      <c r="N36" s="32" t="inlineStr">
        <is>
          <t>Ra1eLa10e</t>
        </is>
      </c>
      <c r="O36" s="32" t="inlineStr">
        <is>
          <t>a4b</t>
        </is>
      </c>
      <c r="P36" s="32" t="inlineStr">
        <is>
          <t>c2b</t>
        </is>
      </c>
      <c r="Q36" s="32" t="inlineStr">
        <is>
          <t>c2b</t>
        </is>
      </c>
      <c r="R36" s="32" t="inlineStr">
        <is>
          <t>c1g</t>
        </is>
      </c>
      <c r="S36" s="32" t="inlineStr">
        <is>
          <t>b1</t>
        </is>
      </c>
      <c r="T36" s="32" t="inlineStr">
        <is>
          <t>a3b1</t>
        </is>
      </c>
      <c r="U36" s="32" t="inlineStr">
        <is>
          <t>a2</t>
        </is>
      </c>
    </row>
    <row r="37" ht="14.25" customHeight="1" s="114">
      <c r="A37" s="97" t="inlineStr">
        <is>
          <t>Y102</t>
        </is>
      </c>
      <c r="B37" s="97" t="n"/>
      <c r="C37" s="98" t="n"/>
      <c r="D37" s="98" t="n"/>
      <c r="E37" s="97" t="n"/>
      <c r="F37" s="98" t="n"/>
      <c r="G37" s="32" t="n"/>
      <c r="H37" s="25" t="n"/>
      <c r="I37" s="25" t="n"/>
      <c r="J37" s="32" t="n"/>
      <c r="K37" s="32" t="n"/>
      <c r="L37" s="32" t="inlineStr">
        <is>
          <t>A1b2eA2a3eB3a2aB4b2bB5a2bC6c1fC7b1D8a3D9a2</t>
        </is>
      </c>
      <c r="M37" s="32" t="inlineStr">
        <is>
          <t>b2e</t>
        </is>
      </c>
      <c r="N37" s="32" t="inlineStr">
        <is>
          <t>a3e</t>
        </is>
      </c>
      <c r="O37" s="32" t="inlineStr">
        <is>
          <t>a2a</t>
        </is>
      </c>
      <c r="P37" s="32" t="inlineStr">
        <is>
          <t>b2b</t>
        </is>
      </c>
      <c r="Q37" s="32" t="inlineStr">
        <is>
          <t>a2b</t>
        </is>
      </c>
      <c r="R37" s="32" t="inlineStr">
        <is>
          <t>c1f</t>
        </is>
      </c>
      <c r="S37" s="32" t="inlineStr">
        <is>
          <t>b1</t>
        </is>
      </c>
      <c r="T37" s="32" t="inlineStr">
        <is>
          <t>a3</t>
        </is>
      </c>
      <c r="U37" s="32" t="inlineStr">
        <is>
          <t>a2</t>
        </is>
      </c>
    </row>
    <row r="38" ht="14.25" customHeight="1" s="114">
      <c r="A38" s="97" t="inlineStr">
        <is>
          <t>Y33</t>
        </is>
      </c>
      <c r="B38" s="97" t="n"/>
      <c r="C38" s="98" t="inlineStr">
        <is>
          <t>Yehodiya</t>
        </is>
      </c>
      <c r="D38" s="98" t="inlineStr">
        <is>
          <t>Yehodiya</t>
        </is>
      </c>
      <c r="E38" s="97" t="n"/>
      <c r="F38" s="98" t="n">
        <v>7</v>
      </c>
      <c r="G38" s="32" t="inlineStr">
        <is>
          <t>pack</t>
        </is>
      </c>
      <c r="H38" s="24" t="inlineStr">
        <is>
          <t>dark pack</t>
        </is>
      </c>
      <c r="I38" s="25" t="inlineStr">
        <is>
          <t>seen together</t>
        </is>
      </c>
      <c r="J38" s="32" t="inlineStr">
        <is>
          <t>dark face</t>
        </is>
      </c>
      <c r="K38" s="32" t="inlineStr">
        <is>
          <t>16.10.20</t>
        </is>
      </c>
      <c r="L38" s="32" t="inlineStr">
        <is>
          <t>A1a1tzeA2a4eB3bB4b1bB5a1bC6c1eC6c1eC7a3D8a3D9a2</t>
        </is>
      </c>
      <c r="M38" s="32" t="inlineStr">
        <is>
          <t>a1tze</t>
        </is>
      </c>
      <c r="N38" s="32" t="inlineStr">
        <is>
          <t>a4e</t>
        </is>
      </c>
      <c r="O38" s="32" t="inlineStr">
        <is>
          <t>b</t>
        </is>
      </c>
      <c r="P38" s="32" t="inlineStr">
        <is>
          <t>b1b</t>
        </is>
      </c>
      <c r="Q38" s="32" t="inlineStr">
        <is>
          <t>a1b</t>
        </is>
      </c>
      <c r="R38" s="32" t="inlineStr">
        <is>
          <t>c1e</t>
        </is>
      </c>
      <c r="S38" s="32" t="inlineStr">
        <is>
          <t>a3</t>
        </is>
      </c>
      <c r="T38" s="32" t="inlineStr">
        <is>
          <t>a3</t>
        </is>
      </c>
      <c r="U38" s="32" t="inlineStr">
        <is>
          <t>a2</t>
        </is>
      </c>
    </row>
    <row r="39" ht="14.25" customHeight="1" s="114">
      <c r="A39" s="97" t="inlineStr">
        <is>
          <t>Y34</t>
        </is>
      </c>
      <c r="B39" s="97" t="n"/>
      <c r="C39" s="98" t="inlineStr">
        <is>
          <t>Yehodiya</t>
        </is>
      </c>
      <c r="D39" s="98" t="inlineStr">
        <is>
          <t>Yehodiya</t>
        </is>
      </c>
      <c r="E39" s="97" t="inlineStr">
        <is>
          <t>f</t>
        </is>
      </c>
      <c r="F39" s="98" t="n">
        <v>7</v>
      </c>
      <c r="G39" s="32" t="inlineStr">
        <is>
          <t>pack</t>
        </is>
      </c>
      <c r="H39" s="24" t="inlineStr">
        <is>
          <t>dark pack</t>
        </is>
      </c>
      <c r="I39" s="25" t="inlineStr">
        <is>
          <t>seen together</t>
        </is>
      </c>
      <c r="J39" s="32" t="inlineStr">
        <is>
          <t>dark face</t>
        </is>
      </c>
      <c r="K39" s="32" t="inlineStr">
        <is>
          <t>16.10.20</t>
        </is>
      </c>
      <c r="L39" s="32" t="inlineStr">
        <is>
          <t>A1a5uzeA2a2eB3bB4NB5a1bC6a1eC7cD8a4D9a2</t>
        </is>
      </c>
      <c r="M39" s="32" t="inlineStr">
        <is>
          <t>a5uze</t>
        </is>
      </c>
      <c r="N39" s="32" t="inlineStr">
        <is>
          <t>a2e</t>
        </is>
      </c>
      <c r="O39" s="32" t="inlineStr">
        <is>
          <t>b</t>
        </is>
      </c>
      <c r="P39" s="32" t="inlineStr">
        <is>
          <t>N</t>
        </is>
      </c>
      <c r="Q39" s="32" t="inlineStr">
        <is>
          <t>a1b</t>
        </is>
      </c>
      <c r="R39" s="32" t="inlineStr">
        <is>
          <t>a1e</t>
        </is>
      </c>
      <c r="S39" s="32" t="inlineStr">
        <is>
          <t>c</t>
        </is>
      </c>
      <c r="T39" s="32" t="inlineStr">
        <is>
          <t>a4</t>
        </is>
      </c>
      <c r="U39" s="32" t="inlineStr">
        <is>
          <t>a2</t>
        </is>
      </c>
    </row>
    <row r="40" ht="14.25" customHeight="1" s="114">
      <c r="A40" s="97" t="inlineStr">
        <is>
          <t>Y35</t>
        </is>
      </c>
      <c r="B40" s="97" t="n"/>
      <c r="C40" s="98" t="inlineStr">
        <is>
          <t>Yehodiya</t>
        </is>
      </c>
      <c r="D40" s="98" t="inlineStr">
        <is>
          <t>Yehodiya</t>
        </is>
      </c>
      <c r="E40" s="97" t="inlineStr">
        <is>
          <t>m</t>
        </is>
      </c>
      <c r="F40" s="98" t="n">
        <v>7</v>
      </c>
      <c r="G40" s="32" t="inlineStr">
        <is>
          <t>pack</t>
        </is>
      </c>
      <c r="H40" s="28" t="inlineStr">
        <is>
          <t>dark pack</t>
        </is>
      </c>
      <c r="I40" s="14" t="inlineStr">
        <is>
          <t>seen together</t>
        </is>
      </c>
      <c r="J40" s="32" t="inlineStr">
        <is>
          <t>dark face</t>
        </is>
      </c>
      <c r="K40" s="32" t="inlineStr">
        <is>
          <t>16.10.20</t>
        </is>
      </c>
      <c r="L40" s="32" t="inlineStr">
        <is>
          <t>A1a5txeA2a4eB3bB4NB5a1bC6a2eC7cD8a3D9N</t>
        </is>
      </c>
      <c r="M40" s="32" t="inlineStr">
        <is>
          <t>a5txe</t>
        </is>
      </c>
      <c r="N40" s="32" t="inlineStr">
        <is>
          <t>a4e</t>
        </is>
      </c>
      <c r="O40" s="32" t="inlineStr">
        <is>
          <t>b</t>
        </is>
      </c>
      <c r="P40" s="32" t="inlineStr">
        <is>
          <t>N</t>
        </is>
      </c>
      <c r="Q40" s="32" t="inlineStr">
        <is>
          <t>a1b</t>
        </is>
      </c>
      <c r="R40" s="32" t="inlineStr">
        <is>
          <t>a2e</t>
        </is>
      </c>
      <c r="S40" s="32" t="inlineStr">
        <is>
          <t>c</t>
        </is>
      </c>
      <c r="T40" s="32" t="inlineStr">
        <is>
          <t>a3</t>
        </is>
      </c>
      <c r="U40" s="32" t="inlineStr">
        <is>
          <t>N</t>
        </is>
      </c>
    </row>
    <row r="41" ht="14.25" customHeight="1" s="114">
      <c r="A41" s="97" t="inlineStr">
        <is>
          <t>Y36</t>
        </is>
      </c>
      <c r="B41" s="97" t="n"/>
      <c r="C41" s="98" t="inlineStr">
        <is>
          <t>Yehodiya</t>
        </is>
      </c>
      <c r="D41" s="98" t="inlineStr">
        <is>
          <t>Yehodiya</t>
        </is>
      </c>
      <c r="E41" s="97" t="n"/>
      <c r="F41" s="98" t="n">
        <v>7</v>
      </c>
      <c r="G41" s="32" t="inlineStr">
        <is>
          <t>group</t>
        </is>
      </c>
      <c r="H41" s="29" t="inlineStr">
        <is>
          <t>yehodiya trio</t>
        </is>
      </c>
      <c r="I41" s="30" t="inlineStr">
        <is>
          <t>Y47, Y48</t>
        </is>
      </c>
      <c r="J41" s="32" t="inlineStr">
        <is>
          <t>golden fur, dark eyes, pink nose</t>
        </is>
      </c>
      <c r="K41" s="32" t="inlineStr">
        <is>
          <t>02.11.20-07.12.20</t>
        </is>
      </c>
      <c r="L41" s="32" t="inlineStr">
        <is>
          <t>A1d2iA2a1kB3PB4b1aB5a1aC6c2jC7b1D8a5b5D9a4</t>
        </is>
      </c>
      <c r="M41" s="32" t="inlineStr">
        <is>
          <t>d2i</t>
        </is>
      </c>
      <c r="N41" s="32" t="inlineStr">
        <is>
          <t>a1k</t>
        </is>
      </c>
      <c r="O41" s="32" t="inlineStr">
        <is>
          <t>P</t>
        </is>
      </c>
      <c r="P41" s="32" t="inlineStr">
        <is>
          <t>b1a</t>
        </is>
      </c>
      <c r="Q41" s="32" t="inlineStr">
        <is>
          <t>a1a</t>
        </is>
      </c>
      <c r="R41" s="32" t="inlineStr">
        <is>
          <t>c2j</t>
        </is>
      </c>
      <c r="S41" s="32" t="inlineStr">
        <is>
          <t>b1</t>
        </is>
      </c>
      <c r="T41" s="32" t="inlineStr">
        <is>
          <t>a5b5</t>
        </is>
      </c>
      <c r="U41" s="32" t="inlineStr">
        <is>
          <t>a4</t>
        </is>
      </c>
    </row>
    <row r="42" ht="14.25" customHeight="1" s="114">
      <c r="A42" s="17" t="inlineStr">
        <is>
          <t>Y38</t>
        </is>
      </c>
      <c r="B42" s="17" t="n"/>
      <c r="C42" s="18" t="inlineStr">
        <is>
          <t>Yehodiya</t>
        </is>
      </c>
      <c r="D42" s="18" t="inlineStr">
        <is>
          <t>Yehodiya</t>
        </is>
      </c>
      <c r="E42" s="17" t="inlineStr">
        <is>
          <t>f</t>
        </is>
      </c>
      <c r="F42" s="18" t="inlineStr">
        <is>
          <t>8, 10</t>
        </is>
      </c>
      <c r="G42" s="112" t="inlineStr">
        <is>
          <t>pack</t>
        </is>
      </c>
      <c r="H42" s="31" t="inlineStr">
        <is>
          <t>golden pack</t>
        </is>
      </c>
      <c r="I42" s="31" t="inlineStr">
        <is>
          <t>seen together</t>
        </is>
      </c>
      <c r="J42" s="112" t="inlineStr">
        <is>
          <t>collared</t>
        </is>
      </c>
      <c r="K42" s="112" t="inlineStr">
        <is>
          <t>28.08.20-1.9.20</t>
        </is>
      </c>
      <c r="L42" s="112" t="inlineStr">
        <is>
          <t>N</t>
        </is>
      </c>
      <c r="M42" s="112" t="n"/>
      <c r="N42" s="112" t="n"/>
      <c r="O42" s="112" t="n"/>
      <c r="P42" s="112" t="n"/>
      <c r="Q42" s="112" t="n"/>
      <c r="R42" s="112" t="n"/>
      <c r="S42" s="112" t="n"/>
      <c r="T42" s="112" t="n"/>
      <c r="U42" s="112" t="n"/>
      <c r="V42" s="112" t="n"/>
      <c r="W42" s="112" t="n"/>
      <c r="X42" s="112" t="n"/>
      <c r="Y42" s="112" t="n"/>
      <c r="Z42" s="112" t="n"/>
    </row>
    <row r="43" ht="14.25" customHeight="1" s="114">
      <c r="A43" s="97" t="inlineStr">
        <is>
          <t>Y39</t>
        </is>
      </c>
      <c r="B43" s="97" t="n"/>
      <c r="C43" s="98" t="inlineStr">
        <is>
          <t>Yehodiya</t>
        </is>
      </c>
      <c r="D43" s="98" t="inlineStr">
        <is>
          <t>Yehodiya</t>
        </is>
      </c>
      <c r="E43" s="97" t="n"/>
      <c r="F43" s="98" t="inlineStr">
        <is>
          <t>9, 10</t>
        </is>
      </c>
      <c r="G43" s="32" t="inlineStr">
        <is>
          <t>pack</t>
        </is>
      </c>
      <c r="H43" s="25" t="inlineStr">
        <is>
          <t>golden pack</t>
        </is>
      </c>
      <c r="I43" s="25" t="inlineStr">
        <is>
          <t>seen together</t>
        </is>
      </c>
      <c r="J43" s="32" t="inlineStr">
        <is>
          <t xml:space="preserve">golden fur, dark tail </t>
        </is>
      </c>
      <c r="K43" s="32" t="inlineStr">
        <is>
          <t>30.9.20</t>
        </is>
      </c>
      <c r="L43" s="32" t="inlineStr">
        <is>
          <t>A1b3jA2a9jB3bB4Rb1aLdB5Ra2bLd6C6NC7ND8a6D9N</t>
        </is>
      </c>
      <c r="M43" s="32" t="inlineStr">
        <is>
          <t>b3j</t>
        </is>
      </c>
      <c r="N43" s="32" t="inlineStr">
        <is>
          <t>a9j</t>
        </is>
      </c>
      <c r="O43" s="32" t="inlineStr">
        <is>
          <t>Rb1aLd</t>
        </is>
      </c>
      <c r="P43" s="32" t="inlineStr">
        <is>
          <t>Rb1aLd</t>
        </is>
      </c>
      <c r="Q43" s="32" t="inlineStr">
        <is>
          <t>Ra2bLd</t>
        </is>
      </c>
      <c r="R43" s="32" t="inlineStr">
        <is>
          <t>N</t>
        </is>
      </c>
      <c r="S43" s="32" t="inlineStr">
        <is>
          <t>N</t>
        </is>
      </c>
      <c r="T43" s="32" t="inlineStr">
        <is>
          <t>a6</t>
        </is>
      </c>
      <c r="U43" s="32" t="inlineStr">
        <is>
          <t>N</t>
        </is>
      </c>
      <c r="V43" s="32" t="n"/>
      <c r="W43" s="32" t="n"/>
      <c r="X43" s="32" t="n"/>
      <c r="Y43" s="32" t="n"/>
      <c r="Z43" s="32" t="n"/>
    </row>
    <row r="44" ht="14.25" customHeight="1" s="114">
      <c r="A44" s="97" t="inlineStr">
        <is>
          <t>Y40</t>
        </is>
      </c>
      <c r="B44" s="97" t="n"/>
      <c r="C44" s="98" t="inlineStr">
        <is>
          <t>Yehodiya</t>
        </is>
      </c>
      <c r="D44" s="98" t="inlineStr">
        <is>
          <t>Yehodiya</t>
        </is>
      </c>
      <c r="E44" s="97" t="inlineStr">
        <is>
          <t>m</t>
        </is>
      </c>
      <c r="F44" s="98" t="n">
        <v>9</v>
      </c>
      <c r="G44" s="32" t="inlineStr">
        <is>
          <t>pack</t>
        </is>
      </c>
      <c r="H44" s="25" t="inlineStr">
        <is>
          <t>golden pack</t>
        </is>
      </c>
      <c r="I44" s="25" t="inlineStr">
        <is>
          <t>seen together</t>
        </is>
      </c>
      <c r="J44" s="32" t="inlineStr">
        <is>
          <t>golden fur, dark tail, seen wounded</t>
        </is>
      </c>
      <c r="K44" s="32" t="inlineStr">
        <is>
          <t>30.9.20-13.11.20</t>
        </is>
      </c>
      <c r="L44" s="32" t="inlineStr">
        <is>
          <t>A1b3jA2a7jB3NB4NB5NC6b1kC7cD8a6b5D9a4</t>
        </is>
      </c>
      <c r="M44" s="32" t="inlineStr">
        <is>
          <t>b3j</t>
        </is>
      </c>
      <c r="N44" s="32" t="inlineStr">
        <is>
          <t>a7j</t>
        </is>
      </c>
      <c r="O44" s="32" t="inlineStr">
        <is>
          <t>N</t>
        </is>
      </c>
      <c r="P44" s="32" t="inlineStr">
        <is>
          <t>N</t>
        </is>
      </c>
      <c r="Q44" s="32" t="inlineStr">
        <is>
          <t>N</t>
        </is>
      </c>
      <c r="R44" s="32" t="inlineStr">
        <is>
          <t>b1k</t>
        </is>
      </c>
      <c r="S44" s="32" t="inlineStr">
        <is>
          <t>c</t>
        </is>
      </c>
      <c r="T44" s="32" t="inlineStr">
        <is>
          <t>a6b5</t>
        </is>
      </c>
      <c r="U44" s="32" t="inlineStr">
        <is>
          <t>a4</t>
        </is>
      </c>
      <c r="V44" s="32" t="n"/>
      <c r="W44" s="32" t="n"/>
      <c r="X44" s="32" t="n"/>
      <c r="Y44" s="32" t="n"/>
      <c r="Z44" s="32" t="n"/>
    </row>
    <row r="45" ht="14.25" customHeight="1" s="114">
      <c r="A45" s="97" t="inlineStr">
        <is>
          <t>Y41</t>
        </is>
      </c>
      <c r="B45" s="97" t="n"/>
      <c r="C45" s="98" t="inlineStr">
        <is>
          <t>Yehodiya</t>
        </is>
      </c>
      <c r="D45" s="98" t="inlineStr">
        <is>
          <t>Yehodiya</t>
        </is>
      </c>
      <c r="E45" s="97" t="n"/>
      <c r="F45" s="98" t="n">
        <v>9</v>
      </c>
      <c r="G45" s="32" t="inlineStr">
        <is>
          <t>pack</t>
        </is>
      </c>
      <c r="H45" s="33" t="inlineStr">
        <is>
          <t>golden pack</t>
        </is>
      </c>
      <c r="I45" s="25" t="inlineStr">
        <is>
          <t>seen together</t>
        </is>
      </c>
      <c r="J45" s="32" t="inlineStr">
        <is>
          <t>golden fur, dark tail, grey face</t>
        </is>
      </c>
      <c r="K45" s="32" t="inlineStr">
        <is>
          <t>30.9.20-12.10.20</t>
        </is>
      </c>
      <c r="L45" s="32" t="inlineStr">
        <is>
          <t>A1a2tyiA2a1iB3a2aB4b2aB5a1aC6c1iC7b1D8a7b5D9a4</t>
        </is>
      </c>
      <c r="M45" s="32" t="inlineStr">
        <is>
          <t>a2tyi</t>
        </is>
      </c>
      <c r="N45" s="32" t="inlineStr">
        <is>
          <t>a1i</t>
        </is>
      </c>
      <c r="O45" s="32" t="inlineStr">
        <is>
          <t>a2a</t>
        </is>
      </c>
      <c r="P45" s="32" t="inlineStr">
        <is>
          <t>b2a</t>
        </is>
      </c>
      <c r="Q45" s="32" t="inlineStr">
        <is>
          <t>a1a</t>
        </is>
      </c>
      <c r="R45" s="32" t="inlineStr">
        <is>
          <t>c1i</t>
        </is>
      </c>
      <c r="S45" s="32" t="inlineStr">
        <is>
          <t>b1</t>
        </is>
      </c>
      <c r="T45" s="32" t="inlineStr">
        <is>
          <t>a7b5</t>
        </is>
      </c>
      <c r="U45" s="32" t="inlineStr">
        <is>
          <t>a4</t>
        </is>
      </c>
    </row>
    <row r="46" ht="14.25" customHeight="1" s="114">
      <c r="A46" s="97" t="inlineStr">
        <is>
          <t>Y42</t>
        </is>
      </c>
      <c r="B46" s="97" t="n"/>
      <c r="C46" s="98" t="inlineStr">
        <is>
          <t>Yehodiya</t>
        </is>
      </c>
      <c r="D46" s="98" t="inlineStr">
        <is>
          <t>Yehodiya</t>
        </is>
      </c>
      <c r="E46" s="97" t="inlineStr">
        <is>
          <t>f</t>
        </is>
      </c>
      <c r="F46" s="98" t="inlineStr">
        <is>
          <t>9, 8</t>
        </is>
      </c>
      <c r="G46" s="32" t="inlineStr">
        <is>
          <t>pack</t>
        </is>
      </c>
      <c r="H46" s="33" t="inlineStr">
        <is>
          <t>golden pack</t>
        </is>
      </c>
      <c r="I46" s="25" t="inlineStr">
        <is>
          <t>seen together</t>
        </is>
      </c>
      <c r="J46" s="32" t="inlineStr">
        <is>
          <t>grey-yellow fur, dark tail, grey face</t>
        </is>
      </c>
      <c r="K46" s="32" t="inlineStr">
        <is>
          <t>30.9.20-27.10</t>
        </is>
      </c>
      <c r="L46" s="32" t="inlineStr">
        <is>
          <t>A1a4tyiA2a8iB3NB4b2bB5a1bC6a3gC7cD8a4b5D8a4</t>
        </is>
      </c>
      <c r="M46" s="32" t="inlineStr">
        <is>
          <t>a4tyi</t>
        </is>
      </c>
      <c r="N46" s="32" t="inlineStr">
        <is>
          <t>a8i</t>
        </is>
      </c>
      <c r="O46" s="32" t="inlineStr">
        <is>
          <t>N</t>
        </is>
      </c>
      <c r="P46" s="32" t="inlineStr">
        <is>
          <t>b2b</t>
        </is>
      </c>
      <c r="Q46" s="32" t="inlineStr">
        <is>
          <t>a1b</t>
        </is>
      </c>
      <c r="R46" s="32" t="inlineStr">
        <is>
          <t>a3g</t>
        </is>
      </c>
      <c r="S46" s="32" t="inlineStr">
        <is>
          <t>c</t>
        </is>
      </c>
      <c r="T46" s="32" t="inlineStr">
        <is>
          <t>a4b5</t>
        </is>
      </c>
      <c r="U46" s="32" t="inlineStr">
        <is>
          <t>a4</t>
        </is>
      </c>
    </row>
    <row r="47" ht="14.25" customHeight="1" s="114">
      <c r="A47" s="97" t="inlineStr">
        <is>
          <t>Y43</t>
        </is>
      </c>
      <c r="B47" s="97" t="n"/>
      <c r="C47" s="98" t="inlineStr">
        <is>
          <t>Yehodiya</t>
        </is>
      </c>
      <c r="D47" s="98" t="inlineStr">
        <is>
          <t>Yehodiya</t>
        </is>
      </c>
      <c r="E47" s="97" t="inlineStr">
        <is>
          <t>m</t>
        </is>
      </c>
      <c r="F47" s="98" t="inlineStr">
        <is>
          <t>9, 8</t>
        </is>
      </c>
      <c r="G47" s="32" t="inlineStr">
        <is>
          <t>pack</t>
        </is>
      </c>
      <c r="H47" s="33" t="inlineStr">
        <is>
          <t>golden pack</t>
        </is>
      </c>
      <c r="I47" s="25" t="inlineStr">
        <is>
          <t>seen together</t>
        </is>
      </c>
      <c r="J47" s="32" t="inlineStr">
        <is>
          <t xml:space="preserve">golden fur, dark tail </t>
        </is>
      </c>
      <c r="K47" s="32" t="inlineStr">
        <is>
          <t>30.9.20</t>
        </is>
      </c>
      <c r="L47" s="32" t="inlineStr">
        <is>
          <t>A1a1txjA2a4B3bB4dB5a1aC6c3gC7b2D8a4D9a2</t>
        </is>
      </c>
      <c r="M47" s="32" t="inlineStr">
        <is>
          <t>a1txj</t>
        </is>
      </c>
      <c r="N47" s="32" t="inlineStr">
        <is>
          <t>a4j</t>
        </is>
      </c>
      <c r="O47" s="32" t="inlineStr">
        <is>
          <t>b</t>
        </is>
      </c>
      <c r="P47" s="32" t="inlineStr">
        <is>
          <t>d</t>
        </is>
      </c>
      <c r="Q47" s="32" t="inlineStr">
        <is>
          <t>a1a</t>
        </is>
      </c>
      <c r="R47" s="32" t="inlineStr">
        <is>
          <t>c3g</t>
        </is>
      </c>
      <c r="S47" s="32" t="inlineStr">
        <is>
          <t>b2</t>
        </is>
      </c>
      <c r="T47" s="32" t="inlineStr">
        <is>
          <t>a4</t>
        </is>
      </c>
      <c r="U47" s="32" t="inlineStr">
        <is>
          <t>a2</t>
        </is>
      </c>
    </row>
    <row r="48" ht="14.25" customHeight="1" s="114">
      <c r="A48" s="97" t="inlineStr">
        <is>
          <t>Y44</t>
        </is>
      </c>
      <c r="B48" s="97" t="n"/>
      <c r="C48" s="98" t="inlineStr">
        <is>
          <t>Yehodiya</t>
        </is>
      </c>
      <c r="D48" s="98" t="inlineStr">
        <is>
          <t>Yehodiya</t>
        </is>
      </c>
      <c r="E48" s="97" t="n"/>
      <c r="F48" s="98" t="n">
        <v>9</v>
      </c>
      <c r="G48" s="32" t="inlineStr">
        <is>
          <t>pack</t>
        </is>
      </c>
      <c r="H48" s="33" t="inlineStr">
        <is>
          <t>golden pack</t>
        </is>
      </c>
      <c r="I48" s="25" t="inlineStr">
        <is>
          <t>seen together</t>
        </is>
      </c>
      <c r="J48" s="32" t="inlineStr">
        <is>
          <t xml:space="preserve">golden fur, dark tail, dark-grey face, ‘wave’ pattern on the face </t>
        </is>
      </c>
      <c r="K48" s="32" t="inlineStr">
        <is>
          <t>30.9.20</t>
        </is>
      </c>
      <c r="L48" s="32" t="inlineStr">
        <is>
          <t>A1a5uyfA2a1iB3bB4b2bB5a1bC6a4gC7cD8a4b5D9a2</t>
        </is>
      </c>
      <c r="M48" s="32" t="inlineStr">
        <is>
          <t>a5uyf</t>
        </is>
      </c>
      <c r="N48" s="32" t="inlineStr">
        <is>
          <t>a1u</t>
        </is>
      </c>
      <c r="O48" s="32" t="inlineStr">
        <is>
          <t>b</t>
        </is>
      </c>
      <c r="P48" s="32" t="inlineStr">
        <is>
          <t>b2b</t>
        </is>
      </c>
      <c r="Q48" s="32" t="inlineStr">
        <is>
          <t>a1b</t>
        </is>
      </c>
      <c r="R48" s="32" t="inlineStr">
        <is>
          <t>a4g</t>
        </is>
      </c>
      <c r="S48" s="32" t="inlineStr">
        <is>
          <t>c</t>
        </is>
      </c>
      <c r="T48" s="32" t="inlineStr">
        <is>
          <t>a4b5</t>
        </is>
      </c>
      <c r="U48" s="32" t="inlineStr">
        <is>
          <t>a2</t>
        </is>
      </c>
    </row>
    <row r="49" ht="14.25" customHeight="1" s="114">
      <c r="A49" s="97" t="inlineStr">
        <is>
          <t>Y45</t>
        </is>
      </c>
      <c r="B49" s="97" t="n"/>
      <c r="C49" s="98" t="inlineStr">
        <is>
          <t>Yehodiya</t>
        </is>
      </c>
      <c r="D49" s="98" t="inlineStr">
        <is>
          <t>Yehodiya</t>
        </is>
      </c>
      <c r="E49" s="97" t="n"/>
      <c r="F49" s="98" t="inlineStr">
        <is>
          <t>9, 8</t>
        </is>
      </c>
      <c r="G49" s="32" t="inlineStr">
        <is>
          <t>pack</t>
        </is>
      </c>
      <c r="H49" s="34" t="inlineStr">
        <is>
          <t>golden pack</t>
        </is>
      </c>
      <c r="I49" s="14" t="inlineStr">
        <is>
          <t>seen together</t>
        </is>
      </c>
      <c r="J49" s="32" t="inlineStr">
        <is>
          <t>golden fur</t>
        </is>
      </c>
      <c r="K49" s="32" t="inlineStr">
        <is>
          <t>30.9.20</t>
        </is>
      </c>
      <c r="L49" s="32" t="inlineStr">
        <is>
          <t>A1c1xjA2a5jB3a1aB4b1aB5a1aC6a3gC7cD8a4b5D9a4</t>
        </is>
      </c>
      <c r="M49" s="32" t="inlineStr">
        <is>
          <t>c1xj</t>
        </is>
      </c>
      <c r="N49" s="32" t="inlineStr">
        <is>
          <t>a5j</t>
        </is>
      </c>
      <c r="O49" s="32" t="inlineStr">
        <is>
          <t>a1a</t>
        </is>
      </c>
      <c r="P49" s="32" t="inlineStr">
        <is>
          <t>b1a</t>
        </is>
      </c>
      <c r="Q49" s="32" t="inlineStr">
        <is>
          <t>a1a</t>
        </is>
      </c>
      <c r="R49" s="32" t="inlineStr">
        <is>
          <t>a3g</t>
        </is>
      </c>
      <c r="S49" s="32" t="inlineStr">
        <is>
          <t>c</t>
        </is>
      </c>
      <c r="T49" s="32" t="inlineStr">
        <is>
          <t>a4b5</t>
        </is>
      </c>
      <c r="U49" s="32" t="inlineStr">
        <is>
          <t>a4</t>
        </is>
      </c>
    </row>
    <row r="50" ht="14.25" customHeight="1" s="114">
      <c r="A50" s="97" t="inlineStr">
        <is>
          <t>Y46</t>
        </is>
      </c>
      <c r="B50" s="97" t="n"/>
      <c r="C50" s="98" t="inlineStr">
        <is>
          <t>Yehodiya</t>
        </is>
      </c>
      <c r="D50" s="98" t="inlineStr">
        <is>
          <t>Yehodiya</t>
        </is>
      </c>
      <c r="E50" s="97" t="n"/>
      <c r="F50" s="98" t="n">
        <v>10</v>
      </c>
      <c r="G50" s="32" t="inlineStr">
        <is>
          <t>lone</t>
        </is>
      </c>
      <c r="H50" s="11" t="inlineStr">
        <is>
          <t>lone</t>
        </is>
      </c>
      <c r="I50" s="32" t="n"/>
      <c r="J50" s="32" t="inlineStr">
        <is>
          <t>black mark on back, black tail</t>
        </is>
      </c>
      <c r="K50" s="32" t="inlineStr">
        <is>
          <t>11.10.20</t>
        </is>
      </c>
      <c r="L50" s="32" t="inlineStr">
        <is>
          <t>A1a1vyhA2a1hB3a1bB4b2bB5a1bC6c1hC7b2D8PD9N</t>
        </is>
      </c>
      <c r="M50" s="32" t="inlineStr">
        <is>
          <t>a1vyh</t>
        </is>
      </c>
      <c r="N50" s="32" t="inlineStr">
        <is>
          <t>a1h</t>
        </is>
      </c>
      <c r="O50" s="32" t="inlineStr">
        <is>
          <t>a1b</t>
        </is>
      </c>
      <c r="P50" s="32" t="inlineStr">
        <is>
          <t>b2b</t>
        </is>
      </c>
      <c r="Q50" s="32" t="inlineStr">
        <is>
          <t>a1b</t>
        </is>
      </c>
      <c r="R50" s="32" t="inlineStr">
        <is>
          <t>c1h</t>
        </is>
      </c>
      <c r="S50" s="32" t="inlineStr">
        <is>
          <t>b2</t>
        </is>
      </c>
      <c r="T50" s="32" t="inlineStr">
        <is>
          <t>P</t>
        </is>
      </c>
      <c r="U50" s="32" t="inlineStr">
        <is>
          <t>N</t>
        </is>
      </c>
    </row>
    <row r="51" ht="14.25" customHeight="1" s="114">
      <c r="A51" s="97" t="inlineStr">
        <is>
          <t>Y47</t>
        </is>
      </c>
      <c r="B51" s="97" t="n"/>
      <c r="C51" s="98" t="inlineStr">
        <is>
          <t>Yehodiya</t>
        </is>
      </c>
      <c r="D51" s="98" t="inlineStr">
        <is>
          <t>Yehodiya</t>
        </is>
      </c>
      <c r="E51" s="97" t="n"/>
      <c r="F51" s="98" t="n">
        <v>10</v>
      </c>
      <c r="G51" s="32" t="inlineStr">
        <is>
          <t>group</t>
        </is>
      </c>
      <c r="H51" s="35" t="inlineStr">
        <is>
          <t>yehodiya trio</t>
        </is>
      </c>
      <c r="I51" s="32" t="inlineStr">
        <is>
          <t>Y48, Y36</t>
        </is>
      </c>
      <c r="J51" s="32" t="n"/>
      <c r="K51" s="32" t="inlineStr">
        <is>
          <t>18.10.20-07.12.20</t>
        </is>
      </c>
      <c r="L51" s="32" t="inlineStr">
        <is>
          <t>A1b1fA2a4fB3a2bB4Rb2bLNB5a2bC6c1gC7a2D8aNb4D9a2</t>
        </is>
      </c>
      <c r="M51" s="32" t="inlineStr">
        <is>
          <t>b1f</t>
        </is>
      </c>
      <c r="N51" s="32" t="inlineStr">
        <is>
          <t>a4f</t>
        </is>
      </c>
      <c r="O51" s="32" t="inlineStr">
        <is>
          <t>a2b</t>
        </is>
      </c>
      <c r="P51" s="32" t="inlineStr">
        <is>
          <t>Rb2bLN</t>
        </is>
      </c>
      <c r="Q51" s="32" t="inlineStr">
        <is>
          <t>a2b</t>
        </is>
      </c>
      <c r="R51" s="32" t="inlineStr">
        <is>
          <t>c1g</t>
        </is>
      </c>
      <c r="S51" s="32" t="inlineStr">
        <is>
          <t>a2</t>
        </is>
      </c>
      <c r="T51" s="32" t="inlineStr">
        <is>
          <t>aNb4</t>
        </is>
      </c>
      <c r="U51" s="32" t="inlineStr">
        <is>
          <t>a2</t>
        </is>
      </c>
    </row>
    <row r="52" ht="14.25" customHeight="1" s="114">
      <c r="A52" s="97" t="inlineStr">
        <is>
          <t>Y48</t>
        </is>
      </c>
      <c r="B52" s="97" t="n"/>
      <c r="C52" s="98" t="inlineStr">
        <is>
          <t>Yehodiya</t>
        </is>
      </c>
      <c r="D52" s="98" t="inlineStr">
        <is>
          <t>Yehodiya</t>
        </is>
      </c>
      <c r="E52" s="97" t="inlineStr">
        <is>
          <t>f</t>
        </is>
      </c>
      <c r="F52" s="98" t="inlineStr">
        <is>
          <t>10, 7</t>
        </is>
      </c>
      <c r="G52" s="32" t="inlineStr">
        <is>
          <t>group</t>
        </is>
      </c>
      <c r="H52" s="102" t="inlineStr">
        <is>
          <t>yehodiya trio</t>
        </is>
      </c>
      <c r="I52" s="32" t="inlineStr">
        <is>
          <t>Y36, Y47</t>
        </is>
      </c>
      <c r="J52" s="32" t="n"/>
      <c r="K52" s="32" t="inlineStr">
        <is>
          <t>6.11.20-07.12.20</t>
        </is>
      </c>
      <c r="L52" s="32" t="inlineStr">
        <is>
          <t>A1ayjA2NB3a2aB4b1aB5a2aC6c1iC7cD8ND9N</t>
        </is>
      </c>
      <c r="M52" s="32" t="inlineStr">
        <is>
          <t>ayj</t>
        </is>
      </c>
      <c r="N52" s="32" t="inlineStr">
        <is>
          <t>N</t>
        </is>
      </c>
      <c r="O52" s="32" t="inlineStr">
        <is>
          <t>a2a</t>
        </is>
      </c>
      <c r="P52" s="32" t="inlineStr">
        <is>
          <t>b1a</t>
        </is>
      </c>
      <c r="Q52" s="32" t="inlineStr">
        <is>
          <t>a2a</t>
        </is>
      </c>
      <c r="R52" s="32" t="inlineStr">
        <is>
          <t>c1i</t>
        </is>
      </c>
      <c r="S52" s="32" t="inlineStr">
        <is>
          <t>c</t>
        </is>
      </c>
      <c r="T52" s="32" t="inlineStr">
        <is>
          <t>N</t>
        </is>
      </c>
      <c r="U52" s="32" t="inlineStr">
        <is>
          <t>N</t>
        </is>
      </c>
    </row>
    <row r="53" ht="14.25" customHeight="1" s="114">
      <c r="A53" s="97" t="inlineStr">
        <is>
          <t>Sh37y</t>
        </is>
      </c>
      <c r="B53" s="97" t="n"/>
      <c r="C53" s="98" t="inlineStr">
        <is>
          <t>Yehodiya, Shaal</t>
        </is>
      </c>
      <c r="D53" s="98" t="inlineStr">
        <is>
          <t>Shaal</t>
        </is>
      </c>
      <c r="E53" s="97" t="n"/>
      <c r="F53" s="98" t="inlineStr">
        <is>
          <t>7, 17</t>
        </is>
      </c>
      <c r="G53" s="32" t="inlineStr">
        <is>
          <t>pack</t>
        </is>
      </c>
      <c r="H53" s="23" t="inlineStr">
        <is>
          <t>shaal east</t>
        </is>
      </c>
      <c r="I53" s="61" t="inlineStr">
        <is>
          <t>Sh49</t>
        </is>
      </c>
      <c r="J53" s="32" t="n"/>
      <c r="K53" s="32" t="inlineStr">
        <is>
          <t>11.10-5.11.20</t>
        </is>
      </c>
      <c r="L53" s="32" t="inlineStr">
        <is>
          <t>A1a3uzfA2a4fB3NB4b1aB5b1aC6c3fC7a1D8a4b1D9a2</t>
        </is>
      </c>
      <c r="M53" s="32" t="inlineStr">
        <is>
          <t>a3uzf</t>
        </is>
      </c>
      <c r="N53" s="32" t="inlineStr">
        <is>
          <t>a4f</t>
        </is>
      </c>
      <c r="O53" s="32" t="inlineStr">
        <is>
          <t>N</t>
        </is>
      </c>
      <c r="P53" s="32" t="inlineStr">
        <is>
          <t>b1a</t>
        </is>
      </c>
      <c r="Q53" s="32" t="inlineStr">
        <is>
          <t>b1a</t>
        </is>
      </c>
      <c r="R53" s="32" t="inlineStr">
        <is>
          <t>c3f</t>
        </is>
      </c>
      <c r="S53" s="32" t="inlineStr">
        <is>
          <t>a1</t>
        </is>
      </c>
      <c r="T53" s="32" t="inlineStr">
        <is>
          <t>a4b1</t>
        </is>
      </c>
      <c r="U53" s="32" t="inlineStr">
        <is>
          <t>a3</t>
        </is>
      </c>
      <c r="V53" s="32" t="n"/>
      <c r="W53" s="32" t="n"/>
      <c r="X53" s="32" t="n"/>
      <c r="Y53" s="32" t="n"/>
      <c r="Z53" s="32" t="n"/>
    </row>
    <row r="54" ht="14.25" customHeight="1" s="114">
      <c r="A54" s="97" t="inlineStr">
        <is>
          <t>Sh49</t>
        </is>
      </c>
      <c r="B54" s="97" t="n"/>
      <c r="C54" s="98" t="inlineStr">
        <is>
          <t>Shaal</t>
        </is>
      </c>
      <c r="D54" s="98" t="inlineStr">
        <is>
          <t>Shaal</t>
        </is>
      </c>
      <c r="E54" s="97" t="inlineStr">
        <is>
          <t>m</t>
        </is>
      </c>
      <c r="F54" s="98" t="inlineStr">
        <is>
          <t>16, 17</t>
        </is>
      </c>
      <c r="G54" s="32" t="inlineStr">
        <is>
          <t>pack</t>
        </is>
      </c>
      <c r="H54" s="103" t="inlineStr">
        <is>
          <t>shaal east</t>
        </is>
      </c>
      <c r="I54" s="61" t="inlineStr">
        <is>
          <t>Sh37y</t>
        </is>
      </c>
      <c r="J54" s="32" t="inlineStr">
        <is>
          <t>massive</t>
        </is>
      </c>
      <c r="K54" s="32" t="inlineStr">
        <is>
          <t>03.10.20-14.11.20</t>
        </is>
      </c>
      <c r="L54" s="32" t="inlineStr">
        <is>
          <t>A1b2iA2a1iB3a1aB4b2aB5a1aC6b2jC7b2D8a3b5D9a3</t>
        </is>
      </c>
      <c r="M54" s="32" t="inlineStr">
        <is>
          <t>b2i</t>
        </is>
      </c>
      <c r="N54" s="32" t="inlineStr">
        <is>
          <t>a1i</t>
        </is>
      </c>
      <c r="O54" s="32" t="inlineStr">
        <is>
          <t>a1a</t>
        </is>
      </c>
      <c r="P54" s="32" t="inlineStr">
        <is>
          <t>b2a</t>
        </is>
      </c>
      <c r="Q54" s="32" t="inlineStr">
        <is>
          <t>a1a</t>
        </is>
      </c>
      <c r="R54" s="32" t="inlineStr">
        <is>
          <t>b2j</t>
        </is>
      </c>
      <c r="S54" s="32" t="inlineStr">
        <is>
          <t>b2</t>
        </is>
      </c>
      <c r="T54" s="32" t="inlineStr">
        <is>
          <t>a3b5</t>
        </is>
      </c>
      <c r="U54" s="32" t="inlineStr">
        <is>
          <t>a3</t>
        </is>
      </c>
    </row>
    <row r="55" ht="14.25" customHeight="1" s="114">
      <c r="A55" s="97" t="inlineStr">
        <is>
          <t>Sh50</t>
        </is>
      </c>
      <c r="B55" s="97" t="n"/>
      <c r="C55" s="98" t="inlineStr">
        <is>
          <t>Shaal</t>
        </is>
      </c>
      <c r="D55" s="98" t="inlineStr">
        <is>
          <t>Shaal</t>
        </is>
      </c>
      <c r="E55" s="97" t="n"/>
      <c r="F55" s="98" t="n">
        <v>17</v>
      </c>
      <c r="G55" s="32" t="inlineStr">
        <is>
          <t>pack</t>
        </is>
      </c>
      <c r="H55" s="62" t="inlineStr">
        <is>
          <t>shaal east</t>
        </is>
      </c>
      <c r="I55" s="32" t="inlineStr">
        <is>
          <t>7 min after Sh49+Sh37y</t>
        </is>
      </c>
      <c r="J55" s="32" t="inlineStr">
        <is>
          <t>light fur near the ears</t>
        </is>
      </c>
      <c r="K55" s="32" t="inlineStr">
        <is>
          <t>9-11.10.20</t>
        </is>
      </c>
      <c r="L55" s="32" t="inlineStr">
        <is>
          <t>A1b2iA2a1iB3NB4NB5NC6c1iC7b2D8a3D9a2</t>
        </is>
      </c>
      <c r="M55" s="32" t="inlineStr">
        <is>
          <t>b2i</t>
        </is>
      </c>
      <c r="N55" s="32" t="inlineStr">
        <is>
          <t>a1i</t>
        </is>
      </c>
      <c r="O55" s="32" t="inlineStr">
        <is>
          <t>N</t>
        </is>
      </c>
      <c r="P55" s="32" t="inlineStr">
        <is>
          <t>N</t>
        </is>
      </c>
      <c r="Q55" s="32" t="inlineStr">
        <is>
          <t>N</t>
        </is>
      </c>
      <c r="R55" s="32" t="inlineStr">
        <is>
          <t>c1i</t>
        </is>
      </c>
      <c r="S55" s="32" t="inlineStr">
        <is>
          <t>b2</t>
        </is>
      </c>
      <c r="T55" s="32" t="inlineStr">
        <is>
          <t>a3</t>
        </is>
      </c>
      <c r="U55" s="32" t="inlineStr">
        <is>
          <t>a2</t>
        </is>
      </c>
    </row>
    <row r="56" ht="14.25" customHeight="1" s="114">
      <c r="A56" s="97" t="inlineStr">
        <is>
          <t>Sh51</t>
        </is>
      </c>
      <c r="B56" s="97" t="n"/>
      <c r="C56" s="98" t="inlineStr">
        <is>
          <t>Shaal</t>
        </is>
      </c>
      <c r="D56" s="98" t="inlineStr">
        <is>
          <t>Shaal</t>
        </is>
      </c>
      <c r="E56" s="97" t="n"/>
      <c r="F56" s="98" t="n">
        <v>17</v>
      </c>
      <c r="G56" s="32" t="inlineStr">
        <is>
          <t>unknown</t>
        </is>
      </c>
      <c r="H56" s="62" t="inlineStr">
        <is>
          <t>?</t>
        </is>
      </c>
      <c r="I56" s="32" t="n"/>
      <c r="J56" s="32" t="n"/>
      <c r="K56" s="32" t="inlineStr">
        <is>
          <t>12-29.10.20</t>
        </is>
      </c>
      <c r="L56" s="32" t="inlineStr">
        <is>
          <t>A1b4iA2a9iB3a1aB4b2aB5a1aC6c3iC7a2D8a4b1D9a2</t>
        </is>
      </c>
      <c r="M56" s="32" t="inlineStr">
        <is>
          <t>b4i</t>
        </is>
      </c>
      <c r="N56" s="32" t="inlineStr">
        <is>
          <t>a9i</t>
        </is>
      </c>
      <c r="O56" s="32" t="inlineStr">
        <is>
          <t>a1a</t>
        </is>
      </c>
      <c r="P56" s="32" t="inlineStr">
        <is>
          <t>b2a</t>
        </is>
      </c>
      <c r="Q56" s="32" t="inlineStr">
        <is>
          <t>a1a</t>
        </is>
      </c>
      <c r="R56" s="32" t="inlineStr">
        <is>
          <t>c3i</t>
        </is>
      </c>
      <c r="S56" s="32" t="inlineStr">
        <is>
          <t>a2</t>
        </is>
      </c>
      <c r="T56" s="32" t="inlineStr">
        <is>
          <t>a4b1</t>
        </is>
      </c>
      <c r="U56" s="32" t="inlineStr">
        <is>
          <t>a2</t>
        </is>
      </c>
    </row>
    <row r="57" ht="14.25" customHeight="1" s="114">
      <c r="A57" s="97" t="inlineStr">
        <is>
          <t>Sh52</t>
        </is>
      </c>
      <c r="B57" s="97" t="n"/>
      <c r="C57" s="98" t="inlineStr">
        <is>
          <t>Shaal</t>
        </is>
      </c>
      <c r="D57" s="98" t="inlineStr">
        <is>
          <t>Shaal</t>
        </is>
      </c>
      <c r="E57" s="97" t="inlineStr">
        <is>
          <t>f</t>
        </is>
      </c>
      <c r="F57" s="98" t="n">
        <v>17</v>
      </c>
      <c r="G57" s="32" t="inlineStr">
        <is>
          <t>pack</t>
        </is>
      </c>
      <c r="H57" s="63" t="inlineStr">
        <is>
          <t>shaal east</t>
        </is>
      </c>
      <c r="I57" s="61" t="inlineStr">
        <is>
          <t>Sh53+1 unrecognized</t>
        </is>
      </c>
      <c r="J57" s="32" t="inlineStr">
        <is>
          <t xml:space="preserve">loves mud </t>
        </is>
      </c>
      <c r="K57" s="32" t="inlineStr">
        <is>
          <t>15.10.20</t>
        </is>
      </c>
      <c r="L57" s="32" t="inlineStr">
        <is>
          <t>A1b4iA2a1iB3a2aB4b1aB5a1aC6b2iC7b2D8ND9N</t>
        </is>
      </c>
      <c r="M57" s="32" t="inlineStr">
        <is>
          <t>b4i</t>
        </is>
      </c>
      <c r="N57" s="32" t="inlineStr">
        <is>
          <t>a1i</t>
        </is>
      </c>
      <c r="O57" s="32" t="inlineStr">
        <is>
          <t>a2a</t>
        </is>
      </c>
      <c r="P57" s="32" t="inlineStr">
        <is>
          <t>b1a</t>
        </is>
      </c>
      <c r="Q57" s="32" t="inlineStr">
        <is>
          <t>a1a</t>
        </is>
      </c>
      <c r="R57" s="32" t="inlineStr">
        <is>
          <t>b2i</t>
        </is>
      </c>
      <c r="S57" s="32" t="inlineStr">
        <is>
          <t>b2</t>
        </is>
      </c>
      <c r="T57" s="32" t="inlineStr">
        <is>
          <t>N</t>
        </is>
      </c>
      <c r="U57" s="32" t="inlineStr">
        <is>
          <t>N</t>
        </is>
      </c>
    </row>
    <row r="58" ht="14.25" customHeight="1" s="114">
      <c r="A58" s="97" t="inlineStr">
        <is>
          <t>Sh53</t>
        </is>
      </c>
      <c r="B58" s="97" t="n"/>
      <c r="C58" s="98" t="inlineStr">
        <is>
          <t>Shaal</t>
        </is>
      </c>
      <c r="D58" s="98" t="inlineStr">
        <is>
          <t>Shaal</t>
        </is>
      </c>
      <c r="E58" s="97" t="inlineStr">
        <is>
          <t>f</t>
        </is>
      </c>
      <c r="F58" s="98" t="n">
        <v>17</v>
      </c>
      <c r="G58" s="32" t="inlineStr">
        <is>
          <t>pack</t>
        </is>
      </c>
      <c r="H58" s="62" t="inlineStr">
        <is>
          <t>shaal east</t>
        </is>
      </c>
      <c r="I58" s="61" t="inlineStr">
        <is>
          <t>Sh52+1 unrecognized</t>
        </is>
      </c>
      <c r="J58" s="32" t="n"/>
      <c r="K58" s="32" t="inlineStr">
        <is>
          <t>19.10.20-17.11.20</t>
        </is>
      </c>
      <c r="L58" s="32" t="inlineStr">
        <is>
          <t>A1b3jA2a1jB3bB4b1aB5a2aC6c3gC7b1D8a4b5D9a4</t>
        </is>
      </c>
      <c r="M58" s="32" t="inlineStr">
        <is>
          <t>b3j</t>
        </is>
      </c>
      <c r="N58" s="32" t="inlineStr">
        <is>
          <t>a1j</t>
        </is>
      </c>
      <c r="O58" s="32" t="inlineStr">
        <is>
          <t>b</t>
        </is>
      </c>
      <c r="P58" s="32" t="inlineStr">
        <is>
          <t>b1a</t>
        </is>
      </c>
      <c r="Q58" s="32" t="inlineStr">
        <is>
          <t>a2a</t>
        </is>
      </c>
      <c r="R58" s="32" t="inlineStr">
        <is>
          <t>c3g</t>
        </is>
      </c>
      <c r="S58" s="32" t="inlineStr">
        <is>
          <t>b1</t>
        </is>
      </c>
      <c r="T58" s="32" t="inlineStr">
        <is>
          <t>a4b5</t>
        </is>
      </c>
      <c r="U58" s="32" t="inlineStr">
        <is>
          <t>a4</t>
        </is>
      </c>
    </row>
    <row r="59" ht="14.25" customHeight="1" s="114">
      <c r="A59" s="97" t="inlineStr">
        <is>
          <t>Sh54</t>
        </is>
      </c>
      <c r="B59" s="97" t="n"/>
      <c r="C59" s="98" t="inlineStr">
        <is>
          <t>Shaal</t>
        </is>
      </c>
      <c r="D59" s="98" t="inlineStr">
        <is>
          <t>Shaal</t>
        </is>
      </c>
      <c r="E59" s="97" t="n"/>
      <c r="F59" s="98" t="n">
        <v>17</v>
      </c>
      <c r="G59" s="32" t="inlineStr">
        <is>
          <t>unknown</t>
        </is>
      </c>
      <c r="H59" s="62" t="inlineStr">
        <is>
          <t>?</t>
        </is>
      </c>
      <c r="I59" s="32" t="n"/>
      <c r="J59" s="32" t="inlineStr">
        <is>
          <t xml:space="preserve">”tringle” shape on the cheek </t>
        </is>
      </c>
      <c r="K59" s="32" t="inlineStr">
        <is>
          <t>23.10.20</t>
        </is>
      </c>
      <c r="L59" s="32" t="inlineStr">
        <is>
          <t>A1c1yiA2a5iB3bB4dB5dC6c3gC7b1D8a3b5D9a4</t>
        </is>
      </c>
      <c r="M59" s="32" t="inlineStr">
        <is>
          <t>c1yi</t>
        </is>
      </c>
      <c r="N59" s="32" t="inlineStr">
        <is>
          <t>a5i</t>
        </is>
      </c>
      <c r="O59" s="32" t="inlineStr">
        <is>
          <t>b</t>
        </is>
      </c>
      <c r="P59" s="32" t="inlineStr">
        <is>
          <t>d</t>
        </is>
      </c>
      <c r="Q59" s="32" t="inlineStr">
        <is>
          <t>d</t>
        </is>
      </c>
      <c r="R59" s="32" t="inlineStr">
        <is>
          <t>c3g</t>
        </is>
      </c>
      <c r="S59" s="32" t="inlineStr">
        <is>
          <t>b2</t>
        </is>
      </c>
      <c r="T59" s="32" t="inlineStr">
        <is>
          <t>a3b5</t>
        </is>
      </c>
      <c r="U59" s="32" t="inlineStr">
        <is>
          <t>a4</t>
        </is>
      </c>
    </row>
    <row r="60" ht="14.25" customHeight="1" s="114">
      <c r="A60" s="64" t="inlineStr">
        <is>
          <t>Sh55</t>
        </is>
      </c>
      <c r="B60" s="64" t="n"/>
      <c r="C60" s="65" t="inlineStr">
        <is>
          <t>Shaal</t>
        </is>
      </c>
      <c r="D60" s="65" t="inlineStr">
        <is>
          <t>Shaal</t>
        </is>
      </c>
      <c r="E60" s="64" t="n"/>
      <c r="F60" s="65" t="n">
        <v>20</v>
      </c>
      <c r="G60" s="68" t="inlineStr">
        <is>
          <t>group</t>
        </is>
      </c>
      <c r="H60" s="35" t="inlineStr">
        <is>
          <t>Shaal west</t>
        </is>
      </c>
      <c r="I60" s="67" t="inlineStr">
        <is>
          <t>seen together</t>
        </is>
      </c>
      <c r="J60" s="68" t="n"/>
      <c r="K60" s="68" t="inlineStr">
        <is>
          <t>3-6.11.20</t>
        </is>
      </c>
      <c r="L60" s="68" t="inlineStr">
        <is>
          <t>A1a5uzeA2NB3NB4NB5NC6NC7ND8a4D9a3</t>
        </is>
      </c>
      <c r="M60" s="68" t="inlineStr">
        <is>
          <t>a5uze</t>
        </is>
      </c>
      <c r="N60" s="68" t="inlineStr">
        <is>
          <t>N</t>
        </is>
      </c>
      <c r="O60" s="68" t="inlineStr">
        <is>
          <t>N</t>
        </is>
      </c>
      <c r="P60" s="68" t="inlineStr">
        <is>
          <t>N</t>
        </is>
      </c>
      <c r="Q60" s="68" t="inlineStr">
        <is>
          <t>N</t>
        </is>
      </c>
      <c r="R60" s="68" t="inlineStr">
        <is>
          <t>N</t>
        </is>
      </c>
      <c r="S60" s="68" t="inlineStr">
        <is>
          <t>N</t>
        </is>
      </c>
      <c r="T60" s="68" t="inlineStr">
        <is>
          <t>a4</t>
        </is>
      </c>
      <c r="U60" s="68" t="inlineStr">
        <is>
          <t>a3</t>
        </is>
      </c>
      <c r="V60" s="68" t="n"/>
      <c r="W60" s="68" t="n"/>
      <c r="X60" s="68" t="n"/>
      <c r="Y60" s="68" t="n"/>
      <c r="Z60" s="68" t="n"/>
    </row>
    <row r="61" ht="14.25" customHeight="1" s="114">
      <c r="A61" s="17" t="inlineStr">
        <is>
          <t>Sh56</t>
        </is>
      </c>
      <c r="B61" s="17" t="n"/>
      <c r="C61" s="18" t="inlineStr">
        <is>
          <t>Shaal</t>
        </is>
      </c>
      <c r="D61" s="18" t="inlineStr">
        <is>
          <t>Shaal</t>
        </is>
      </c>
      <c r="E61" s="17" t="n"/>
      <c r="F61" s="18" t="n">
        <v>20</v>
      </c>
      <c r="G61" s="112" t="inlineStr">
        <is>
          <t>group</t>
        </is>
      </c>
      <c r="H61" s="104" t="inlineStr">
        <is>
          <t>Shaal west</t>
        </is>
      </c>
      <c r="I61" s="105" t="inlineStr">
        <is>
          <t>seen together</t>
        </is>
      </c>
      <c r="J61" s="112" t="n"/>
      <c r="K61" s="112" t="inlineStr">
        <is>
          <t>6.11.20</t>
        </is>
      </c>
      <c r="L61" s="112" t="inlineStr">
        <is>
          <t>N</t>
        </is>
      </c>
      <c r="M61" s="112" t="n"/>
      <c r="N61" s="112" t="n"/>
      <c r="O61" s="112" t="n"/>
      <c r="P61" s="112" t="n"/>
      <c r="Q61" s="112" t="n"/>
      <c r="R61" s="112" t="n"/>
      <c r="S61" s="112" t="n"/>
      <c r="T61" s="112" t="n"/>
      <c r="U61" s="112" t="n"/>
      <c r="V61" s="112" t="n"/>
      <c r="W61" s="112" t="n"/>
      <c r="X61" s="112" t="n"/>
      <c r="Y61" s="112" t="n"/>
      <c r="Z61" s="112" t="n"/>
    </row>
    <row r="62" ht="14.25" customHeight="1" s="114">
      <c r="A62" s="97" t="inlineStr">
        <is>
          <t>Sh57</t>
        </is>
      </c>
      <c r="B62" s="97" t="n"/>
      <c r="C62" s="98" t="inlineStr">
        <is>
          <t>Shaal</t>
        </is>
      </c>
      <c r="D62" s="98" t="inlineStr">
        <is>
          <t>Shaal</t>
        </is>
      </c>
      <c r="E62" s="97" t="n"/>
      <c r="F62" s="98" t="n">
        <v>20</v>
      </c>
      <c r="G62" s="32" t="inlineStr">
        <is>
          <t>unknown</t>
        </is>
      </c>
      <c r="H62" s="69" t="inlineStr">
        <is>
          <t>Shaal west?</t>
        </is>
      </c>
      <c r="I62" s="70" t="inlineStr">
        <is>
          <t>seen together?</t>
        </is>
      </c>
      <c r="J62" s="32" t="inlineStr">
        <is>
          <t>unrecognized like him seen with the pack, seen wondering in the same tritoty as the pack</t>
        </is>
      </c>
      <c r="K62" s="32" t="inlineStr">
        <is>
          <t>23.10-30.11.20</t>
        </is>
      </c>
      <c r="L62" s="32" t="inlineStr">
        <is>
          <t>A1a3tyfA2a2fB3NB4b1bB5a1bC6c1fC7a1D8a4b5D9a2</t>
        </is>
      </c>
      <c r="M62" s="32" t="inlineStr">
        <is>
          <t>a3tyf</t>
        </is>
      </c>
      <c r="N62" s="32" t="inlineStr">
        <is>
          <t>a2f</t>
        </is>
      </c>
      <c r="O62" s="32" t="inlineStr">
        <is>
          <t>N</t>
        </is>
      </c>
      <c r="P62" s="32" t="inlineStr">
        <is>
          <t>b1b</t>
        </is>
      </c>
      <c r="Q62" s="32" t="inlineStr">
        <is>
          <t>a1b</t>
        </is>
      </c>
      <c r="R62" s="32" t="inlineStr">
        <is>
          <t>c1f</t>
        </is>
      </c>
      <c r="S62" s="32" t="inlineStr">
        <is>
          <t>a1</t>
        </is>
      </c>
      <c r="T62" s="32" t="inlineStr">
        <is>
          <t>a4b5</t>
        </is>
      </c>
      <c r="U62" s="32" t="inlineStr">
        <is>
          <t>a2</t>
        </is>
      </c>
    </row>
    <row r="63" ht="14.25" customHeight="1" s="114">
      <c r="A63" s="17" t="inlineStr">
        <is>
          <t>Sh58</t>
        </is>
      </c>
      <c r="B63" s="17" t="n"/>
      <c r="C63" s="18" t="inlineStr">
        <is>
          <t>Shaal</t>
        </is>
      </c>
      <c r="D63" s="18" t="inlineStr">
        <is>
          <t>Shaal</t>
        </is>
      </c>
      <c r="E63" s="17" t="n"/>
      <c r="F63" s="18" t="n">
        <v>20</v>
      </c>
      <c r="G63" s="112" t="inlineStr">
        <is>
          <t>unknown</t>
        </is>
      </c>
      <c r="H63" s="20" t="inlineStr">
        <is>
          <t>Shaal west?</t>
        </is>
      </c>
      <c r="I63" s="106" t="n"/>
      <c r="J63" s="112" t="inlineStr">
        <is>
          <t>seen wondering in the same tritoty and dates as the pack</t>
        </is>
      </c>
      <c r="K63" s="112" t="inlineStr">
        <is>
          <t>19.11-04.12.20</t>
        </is>
      </c>
      <c r="L63" s="112" t="inlineStr">
        <is>
          <t>N</t>
        </is>
      </c>
      <c r="M63" s="112" t="n"/>
      <c r="N63" s="112" t="n"/>
      <c r="O63" s="112" t="n"/>
      <c r="P63" s="112" t="n"/>
      <c r="Q63" s="112" t="n"/>
      <c r="R63" s="112" t="n"/>
      <c r="S63" s="112" t="n"/>
      <c r="T63" s="112" t="n"/>
      <c r="U63" s="112" t="n"/>
      <c r="V63" s="112" t="n"/>
      <c r="W63" s="112" t="n"/>
      <c r="X63" s="112" t="n"/>
      <c r="Y63" s="112" t="n"/>
      <c r="Z63" s="112" t="n"/>
    </row>
    <row r="64" ht="14.25" customHeight="1" s="114">
      <c r="A64" s="97" t="inlineStr">
        <is>
          <t>Sh59</t>
        </is>
      </c>
      <c r="B64" s="97" t="n"/>
      <c r="C64" s="98" t="inlineStr">
        <is>
          <t>Shaal</t>
        </is>
      </c>
      <c r="D64" s="98" t="inlineStr">
        <is>
          <t>Shaal</t>
        </is>
      </c>
      <c r="E64" s="97" t="n"/>
      <c r="F64" s="98" t="n">
        <v>19</v>
      </c>
      <c r="G64" s="32" t="inlineStr">
        <is>
          <t>lone</t>
        </is>
      </c>
      <c r="H64" s="71" t="inlineStr">
        <is>
          <t>lone</t>
        </is>
      </c>
      <c r="I64" s="32" t="n"/>
      <c r="J64" s="32" t="n"/>
      <c r="K64" s="32" t="inlineStr">
        <is>
          <t>18.11.20</t>
        </is>
      </c>
      <c r="L64" s="32" t="inlineStr">
        <is>
          <t>A1c1zfA2a5fB3NB4NB5NC6a3fC7ND8a5bND9N</t>
        </is>
      </c>
      <c r="M64" s="32" t="inlineStr">
        <is>
          <t>c1zf</t>
        </is>
      </c>
      <c r="N64" s="32" t="inlineStr">
        <is>
          <t>a5f</t>
        </is>
      </c>
      <c r="O64" s="32" t="inlineStr">
        <is>
          <t>N</t>
        </is>
      </c>
      <c r="P64" s="32" t="inlineStr">
        <is>
          <t>N</t>
        </is>
      </c>
      <c r="Q64" s="32" t="inlineStr">
        <is>
          <t>N</t>
        </is>
      </c>
      <c r="R64" s="32" t="inlineStr">
        <is>
          <t>a3f</t>
        </is>
      </c>
      <c r="S64" s="32" t="inlineStr">
        <is>
          <t>N</t>
        </is>
      </c>
      <c r="T64" s="32" t="inlineStr">
        <is>
          <t>a5bN</t>
        </is>
      </c>
      <c r="U64" s="32" t="inlineStr">
        <is>
          <t>N</t>
        </is>
      </c>
    </row>
    <row r="65" ht="14.25" customHeight="1" s="114">
      <c r="A65" s="97" t="inlineStr">
        <is>
          <t>Sl60</t>
        </is>
      </c>
      <c r="B65" s="97" t="n"/>
      <c r="C65" s="98" t="inlineStr">
        <is>
          <t>Slopes</t>
        </is>
      </c>
      <c r="D65" s="98" t="inlineStr">
        <is>
          <t>Slopes</t>
        </is>
      </c>
      <c r="E65" s="97" t="n"/>
      <c r="F65" s="98" t="inlineStr">
        <is>
          <t>46, 47</t>
        </is>
      </c>
      <c r="G65" s="32" t="inlineStr">
        <is>
          <t>unknown</t>
        </is>
      </c>
      <c r="H65" s="72" t="inlineStr">
        <is>
          <t>slopes?</t>
        </is>
      </c>
      <c r="I65" s="73" t="inlineStr">
        <is>
          <t>Sl63</t>
        </is>
      </c>
      <c r="J65" s="32" t="inlineStr">
        <is>
          <t>light fur</t>
        </is>
      </c>
      <c r="K65" s="32" t="inlineStr">
        <is>
          <t>14.09.20</t>
        </is>
      </c>
      <c r="L65" s="32" t="inlineStr">
        <is>
          <t>A1d2jA2a7jB3NB4NB5NC6c2iC7a1D8a8b5D9a4</t>
        </is>
      </c>
      <c r="M65" s="32" t="inlineStr">
        <is>
          <t>d2j</t>
        </is>
      </c>
      <c r="N65" s="32" t="inlineStr">
        <is>
          <t>a7j</t>
        </is>
      </c>
      <c r="O65" s="32" t="inlineStr">
        <is>
          <t>N</t>
        </is>
      </c>
      <c r="P65" s="32" t="inlineStr">
        <is>
          <t>N</t>
        </is>
      </c>
      <c r="Q65" s="32" t="inlineStr">
        <is>
          <t>N</t>
        </is>
      </c>
      <c r="R65" s="32" t="inlineStr">
        <is>
          <t>c2i</t>
        </is>
      </c>
      <c r="S65" s="32" t="inlineStr">
        <is>
          <t>a1</t>
        </is>
      </c>
      <c r="T65" s="32" t="inlineStr">
        <is>
          <t>a8b5</t>
        </is>
      </c>
      <c r="U65" s="32" t="inlineStr">
        <is>
          <t>a4</t>
        </is>
      </c>
    </row>
    <row r="66" ht="14.25" customHeight="1" s="114">
      <c r="A66" s="97" t="inlineStr">
        <is>
          <t>Sl61</t>
        </is>
      </c>
      <c r="B66" s="97" t="n"/>
      <c r="C66" s="98" t="inlineStr">
        <is>
          <t>Slopes</t>
        </is>
      </c>
      <c r="D66" s="98" t="inlineStr">
        <is>
          <t>Slopes</t>
        </is>
      </c>
      <c r="E66" s="97" t="n"/>
      <c r="F66" s="98" t="inlineStr">
        <is>
          <t>46, 47</t>
        </is>
      </c>
      <c r="G66" s="32" t="inlineStr">
        <is>
          <t>unknown</t>
        </is>
      </c>
      <c r="H66" s="74" t="inlineStr">
        <is>
          <t>slopes?</t>
        </is>
      </c>
      <c r="I66" s="32" t="n"/>
      <c r="J66" s="32" t="n"/>
      <c r="K66" s="32" t="inlineStr">
        <is>
          <t>14.09.20</t>
        </is>
      </c>
      <c r="L66" s="32" t="inlineStr">
        <is>
          <t>A1a3tzhA2a1hB3a2aB4b2aB5a2aC6a3gC7ND8a3D9a2</t>
        </is>
      </c>
      <c r="M66" s="32" t="inlineStr">
        <is>
          <t>a3tzh</t>
        </is>
      </c>
      <c r="N66" s="32" t="inlineStr">
        <is>
          <t>a1h</t>
        </is>
      </c>
      <c r="O66" s="32" t="inlineStr">
        <is>
          <t>a2a</t>
        </is>
      </c>
      <c r="P66" s="32" t="inlineStr">
        <is>
          <t>b2a</t>
        </is>
      </c>
      <c r="Q66" s="32" t="inlineStr">
        <is>
          <t>a2a</t>
        </is>
      </c>
      <c r="R66" s="32" t="inlineStr">
        <is>
          <t>a3g</t>
        </is>
      </c>
      <c r="S66" s="32" t="inlineStr">
        <is>
          <t>N</t>
        </is>
      </c>
      <c r="T66" s="32" t="inlineStr">
        <is>
          <t>a3</t>
        </is>
      </c>
      <c r="U66" s="32" t="inlineStr">
        <is>
          <t>a2</t>
        </is>
      </c>
    </row>
    <row r="67" ht="14.25" customHeight="1" s="114">
      <c r="A67" s="83" t="inlineStr">
        <is>
          <t>Sl62</t>
        </is>
      </c>
      <c r="B67" s="83" t="n"/>
      <c r="C67" s="84" t="inlineStr">
        <is>
          <t>Slopes</t>
        </is>
      </c>
      <c r="D67" s="84" t="inlineStr">
        <is>
          <t>Slopes</t>
        </is>
      </c>
      <c r="E67" s="83" t="n"/>
      <c r="F67" s="84" t="inlineStr">
        <is>
          <t>46, 47</t>
        </is>
      </c>
      <c r="G67" s="87" t="inlineStr">
        <is>
          <t>unknown</t>
        </is>
      </c>
      <c r="H67" s="33" t="inlineStr">
        <is>
          <t>slopes?</t>
        </is>
      </c>
      <c r="I67" s="87" t="n"/>
      <c r="J67" s="87" t="inlineStr">
        <is>
          <t>light circle on the cheek</t>
        </is>
      </c>
      <c r="K67" s="87" t="inlineStr">
        <is>
          <t>25.9-25.11.20</t>
        </is>
      </c>
      <c r="L67" s="87" t="n"/>
      <c r="M67" s="87" t="n"/>
      <c r="N67" s="87" t="n"/>
      <c r="O67" s="87" t="n"/>
      <c r="P67" s="87" t="n"/>
      <c r="Q67" s="87" t="n"/>
      <c r="R67" s="87" t="n"/>
      <c r="S67" s="87" t="n"/>
      <c r="T67" s="87" t="n"/>
      <c r="U67" s="87" t="n"/>
      <c r="V67" s="87" t="n"/>
      <c r="W67" s="87" t="n"/>
      <c r="X67" s="87" t="n"/>
      <c r="Y67" s="87" t="n"/>
      <c r="Z67" s="87" t="n"/>
    </row>
    <row r="68" ht="14.25" customHeight="1" s="114">
      <c r="A68" s="90" t="inlineStr">
        <is>
          <t>Sl63</t>
        </is>
      </c>
      <c r="B68" s="90" t="n"/>
      <c r="C68" s="91" t="inlineStr">
        <is>
          <t>Slopes</t>
        </is>
      </c>
      <c r="D68" s="91" t="inlineStr">
        <is>
          <t>Slopes</t>
        </is>
      </c>
      <c r="E68" s="90" t="n"/>
      <c r="F68" s="91" t="n">
        <v>46</v>
      </c>
      <c r="G68" s="94" t="inlineStr">
        <is>
          <t>unknown</t>
        </is>
      </c>
      <c r="H68" s="107" t="inlineStr">
        <is>
          <t>slopes?</t>
        </is>
      </c>
      <c r="I68" s="108" t="inlineStr">
        <is>
          <t>Sl60</t>
        </is>
      </c>
      <c r="J68" s="94" t="n"/>
      <c r="K68" s="94" t="inlineStr">
        <is>
          <t>31.10-13.11.20</t>
        </is>
      </c>
      <c r="L68" s="94" t="n"/>
      <c r="M68" s="94" t="n"/>
      <c r="N68" s="94" t="n"/>
      <c r="O68" s="94" t="n"/>
      <c r="P68" s="94" t="n"/>
      <c r="Q68" s="94" t="n"/>
      <c r="R68" s="94" t="n"/>
      <c r="S68" s="94" t="n"/>
      <c r="T68" s="94" t="n"/>
      <c r="U68" s="94" t="n"/>
      <c r="V68" s="94" t="n"/>
      <c r="W68" s="94" t="n"/>
      <c r="X68" s="94" t="n"/>
      <c r="Y68" s="94" t="n"/>
      <c r="Z68" s="94" t="n"/>
    </row>
    <row r="69" ht="14.25" customHeight="1" s="114">
      <c r="A69" s="97" t="inlineStr">
        <is>
          <t>Sl64</t>
        </is>
      </c>
      <c r="B69" s="97" t="n"/>
      <c r="C69" s="98" t="inlineStr">
        <is>
          <t>Slopes</t>
        </is>
      </c>
      <c r="D69" s="98" t="inlineStr">
        <is>
          <t>Slopes</t>
        </is>
      </c>
      <c r="E69" s="97" t="inlineStr">
        <is>
          <t>f</t>
        </is>
      </c>
      <c r="F69" s="98" t="n">
        <v>47</v>
      </c>
      <c r="G69" s="32" t="inlineStr">
        <is>
          <t>unknown</t>
        </is>
      </c>
      <c r="H69" s="75" t="inlineStr">
        <is>
          <t>slopes?</t>
        </is>
      </c>
      <c r="I69" s="32" t="n"/>
      <c r="J69" s="32" t="n"/>
      <c r="K69" s="32" t="inlineStr">
        <is>
          <t>25.9.20</t>
        </is>
      </c>
      <c r="L69" s="32" t="inlineStr">
        <is>
          <t>A1a4vzfA2a4fB3a1bB4b2aB5a1bC6b1fC7cD8a4b5D9a4</t>
        </is>
      </c>
      <c r="M69" s="32" t="inlineStr">
        <is>
          <t>a4vzf</t>
        </is>
      </c>
      <c r="N69" s="32" t="inlineStr">
        <is>
          <t>a4f</t>
        </is>
      </c>
      <c r="O69" s="32" t="inlineStr">
        <is>
          <t>a1b</t>
        </is>
      </c>
      <c r="P69" s="32" t="inlineStr">
        <is>
          <t>b2a</t>
        </is>
      </c>
      <c r="Q69" s="32" t="inlineStr">
        <is>
          <t>a1b</t>
        </is>
      </c>
      <c r="R69" s="32" t="inlineStr">
        <is>
          <t>b1f</t>
        </is>
      </c>
      <c r="S69" s="32" t="inlineStr">
        <is>
          <t>c</t>
        </is>
      </c>
      <c r="T69" s="32" t="inlineStr">
        <is>
          <t>a4b5</t>
        </is>
      </c>
      <c r="U69" s="32" t="inlineStr">
        <is>
          <t>a4</t>
        </is>
      </c>
    </row>
    <row r="70" ht="14.25" customHeight="1" s="114">
      <c r="A70" s="97" t="inlineStr">
        <is>
          <t>Sl65</t>
        </is>
      </c>
      <c r="B70" s="97" t="n"/>
      <c r="C70" s="98" t="inlineStr">
        <is>
          <t>Slopes</t>
        </is>
      </c>
      <c r="D70" s="98" t="inlineStr">
        <is>
          <t>Slopes</t>
        </is>
      </c>
      <c r="E70" s="97" t="n"/>
      <c r="F70" s="98" t="n">
        <v>48</v>
      </c>
      <c r="G70" s="32" t="inlineStr">
        <is>
          <t>lone</t>
        </is>
      </c>
      <c r="H70" s="76" t="inlineStr">
        <is>
          <t>lone</t>
        </is>
      </c>
      <c r="I70" s="32" t="n"/>
      <c r="J70" s="32" t="n"/>
      <c r="K70" s="32" t="inlineStr">
        <is>
          <t>3.10.20</t>
        </is>
      </c>
      <c r="L70" s="32" t="inlineStr">
        <is>
          <t>A1a1txhA2NB3a2aB4c2aB5c2aC6b1gC7cD8a7b5D9a2</t>
        </is>
      </c>
      <c r="M70" s="32" t="inlineStr">
        <is>
          <t>a1txh</t>
        </is>
      </c>
      <c r="N70" s="32" t="inlineStr">
        <is>
          <t>N</t>
        </is>
      </c>
      <c r="O70" s="32" t="inlineStr">
        <is>
          <t>a2a</t>
        </is>
      </c>
      <c r="P70" s="32" t="inlineStr">
        <is>
          <t>c2a</t>
        </is>
      </c>
      <c r="Q70" s="32" t="inlineStr">
        <is>
          <t>c2a</t>
        </is>
      </c>
      <c r="R70" s="32" t="inlineStr">
        <is>
          <t>b1g</t>
        </is>
      </c>
      <c r="S70" s="32" t="inlineStr">
        <is>
          <t>c</t>
        </is>
      </c>
      <c r="T70" s="32" t="inlineStr">
        <is>
          <t>a7b5</t>
        </is>
      </c>
      <c r="U70" s="32" t="inlineStr">
        <is>
          <t>a2</t>
        </is>
      </c>
    </row>
    <row r="71" ht="14.25" customHeight="1" s="114">
      <c r="A71" s="97" t="inlineStr">
        <is>
          <t>O66</t>
        </is>
      </c>
      <c r="B71" s="97" t="n"/>
      <c r="C71" s="98" t="inlineStr">
        <is>
          <t>Odem</t>
        </is>
      </c>
      <c r="D71" s="98" t="inlineStr">
        <is>
          <t>Odem</t>
        </is>
      </c>
      <c r="E71" s="97" t="inlineStr">
        <is>
          <t>m</t>
        </is>
      </c>
      <c r="F71" s="98" t="inlineStr">
        <is>
          <t>31, omer weiner</t>
        </is>
      </c>
      <c r="G71" s="32" t="inlineStr">
        <is>
          <t>lone</t>
        </is>
      </c>
      <c r="H71" s="11" t="inlineStr">
        <is>
          <t>lone</t>
        </is>
      </c>
      <c r="I71" s="32" t="n"/>
      <c r="J71" s="32" t="inlineStr">
        <is>
          <t>massive, light-fur, darker back</t>
        </is>
      </c>
      <c r="K71" s="32" t="inlineStr">
        <is>
          <t>5.12.20</t>
        </is>
      </c>
      <c r="L71" s="32" t="inlineStr">
        <is>
          <t>A1d2jA2a7lB3a2aB4b2aB5NC6c2iC7cD8a6b5D9a4</t>
        </is>
      </c>
      <c r="M71" s="32" t="inlineStr">
        <is>
          <t>d2j</t>
        </is>
      </c>
      <c r="N71" s="32" t="inlineStr">
        <is>
          <t>a7l</t>
        </is>
      </c>
      <c r="O71" s="32" t="inlineStr">
        <is>
          <t>a2a</t>
        </is>
      </c>
      <c r="P71" s="32" t="inlineStr">
        <is>
          <t>b2a</t>
        </is>
      </c>
      <c r="Q71" s="32" t="inlineStr">
        <is>
          <t>N</t>
        </is>
      </c>
      <c r="R71" s="32" t="inlineStr">
        <is>
          <t>c2i</t>
        </is>
      </c>
      <c r="S71" s="32" t="inlineStr">
        <is>
          <t>c</t>
        </is>
      </c>
      <c r="T71" s="32" t="inlineStr">
        <is>
          <t>a6b5</t>
        </is>
      </c>
      <c r="U71" s="32" t="inlineStr">
        <is>
          <t>a4</t>
        </is>
      </c>
    </row>
    <row r="72" ht="14.25" customHeight="1" s="114">
      <c r="A72" s="97" t="inlineStr">
        <is>
          <t>O67</t>
        </is>
      </c>
      <c r="B72" s="97" t="n"/>
      <c r="C72" s="98" t="inlineStr">
        <is>
          <t>Odem</t>
        </is>
      </c>
      <c r="D72" s="98" t="inlineStr">
        <is>
          <t>Odem</t>
        </is>
      </c>
      <c r="E72" s="97" t="n"/>
      <c r="F72" s="98" t="inlineStr">
        <is>
          <t>31, 33</t>
        </is>
      </c>
      <c r="G72" s="32" t="inlineStr">
        <is>
          <t>pack</t>
        </is>
      </c>
      <c r="H72" s="109" t="inlineStr">
        <is>
          <t>Odem west</t>
        </is>
      </c>
      <c r="I72" s="32" t="n"/>
      <c r="J72" s="32" t="n"/>
      <c r="K72" s="32" t="inlineStr">
        <is>
          <t>29.8-23.11.20</t>
        </is>
      </c>
      <c r="L72" s="32" t="inlineStr">
        <is>
          <t>A1b1iA2a2iB3NB4b2aB5a1aC6c1iC7a1D8a4b5D9a4</t>
        </is>
      </c>
      <c r="M72" s="32" t="inlineStr">
        <is>
          <t>b1i</t>
        </is>
      </c>
      <c r="N72" s="32" t="inlineStr">
        <is>
          <t>a2i</t>
        </is>
      </c>
      <c r="O72" s="32" t="inlineStr">
        <is>
          <t>N</t>
        </is>
      </c>
      <c r="P72" s="32" t="inlineStr">
        <is>
          <t>b2a</t>
        </is>
      </c>
      <c r="Q72" s="32" t="inlineStr">
        <is>
          <t>a1a</t>
        </is>
      </c>
      <c r="R72" s="32" t="inlineStr">
        <is>
          <t>c1i</t>
        </is>
      </c>
      <c r="S72" s="32" t="inlineStr">
        <is>
          <t>a1</t>
        </is>
      </c>
      <c r="T72" s="32" t="inlineStr">
        <is>
          <t>a4b5</t>
        </is>
      </c>
      <c r="U72" s="32" t="inlineStr">
        <is>
          <t>a4</t>
        </is>
      </c>
    </row>
    <row r="73" ht="14.25" customHeight="1" s="114">
      <c r="A73" s="97" t="inlineStr">
        <is>
          <t>O68</t>
        </is>
      </c>
      <c r="B73" s="97" t="n"/>
      <c r="C73" s="98" t="inlineStr">
        <is>
          <t>Odem</t>
        </is>
      </c>
      <c r="D73" s="98" t="inlineStr">
        <is>
          <t>Odem</t>
        </is>
      </c>
      <c r="E73" s="97" t="n"/>
      <c r="F73" s="98" t="n">
        <v>33</v>
      </c>
      <c r="G73" s="32" t="inlineStr">
        <is>
          <t>pack</t>
        </is>
      </c>
      <c r="H73" s="77" t="inlineStr">
        <is>
          <t>Odem west</t>
        </is>
      </c>
      <c r="I73" s="32" t="n"/>
      <c r="J73" s="32" t="inlineStr">
        <is>
          <t>dark fur, light brows, light shape on the cheek</t>
        </is>
      </c>
      <c r="K73" s="32" t="inlineStr">
        <is>
          <t>29.8-29</t>
        </is>
      </c>
      <c r="L73" s="32" t="inlineStr">
        <is>
          <t>A1a5uxfA2a1fB3bB4NB5NC6a6fC7a1D8a3b5D9a2</t>
        </is>
      </c>
      <c r="M73" s="32" t="inlineStr">
        <is>
          <t>a5uxf</t>
        </is>
      </c>
      <c r="N73" s="32" t="inlineStr">
        <is>
          <t>a1f</t>
        </is>
      </c>
      <c r="O73" s="32" t="inlineStr">
        <is>
          <t>b</t>
        </is>
      </c>
      <c r="P73" s="32" t="inlineStr">
        <is>
          <t>N</t>
        </is>
      </c>
      <c r="Q73" s="32" t="inlineStr">
        <is>
          <t>N</t>
        </is>
      </c>
      <c r="R73" s="32" t="inlineStr">
        <is>
          <t>a6f</t>
        </is>
      </c>
      <c r="S73" s="32" t="inlineStr">
        <is>
          <t>a1</t>
        </is>
      </c>
      <c r="T73" s="32" t="inlineStr">
        <is>
          <t>a3b5</t>
        </is>
      </c>
      <c r="U73" s="32" t="inlineStr">
        <is>
          <t>a2</t>
        </is>
      </c>
    </row>
    <row r="74" ht="14.25" customHeight="1" s="114">
      <c r="A74" s="97" t="inlineStr">
        <is>
          <t>O69</t>
        </is>
      </c>
      <c r="B74" s="97" t="n"/>
      <c r="C74" s="98" t="inlineStr">
        <is>
          <t>Odem</t>
        </is>
      </c>
      <c r="D74" s="98" t="inlineStr">
        <is>
          <t>Odem</t>
        </is>
      </c>
      <c r="E74" s="97" t="n"/>
      <c r="F74" s="98" t="n">
        <v>33</v>
      </c>
      <c r="G74" s="32" t="inlineStr">
        <is>
          <t>pack</t>
        </is>
      </c>
      <c r="H74" s="77" t="inlineStr">
        <is>
          <t>Odem west</t>
        </is>
      </c>
      <c r="I74" s="32" t="n"/>
      <c r="J74" s="32" t="inlineStr">
        <is>
          <t>golden fur</t>
        </is>
      </c>
      <c r="K74" s="32" t="inlineStr">
        <is>
          <t>29.8.20</t>
        </is>
      </c>
      <c r="L74" s="32" t="inlineStr">
        <is>
          <t>A1d2kA2a1kB3bB4dB5a1aC6b2jC7cD8a5b5D9a4</t>
        </is>
      </c>
      <c r="M74" s="32" t="inlineStr">
        <is>
          <t>d2k</t>
        </is>
      </c>
      <c r="N74" s="32" t="inlineStr">
        <is>
          <t>a1k</t>
        </is>
      </c>
      <c r="O74" s="32" t="inlineStr">
        <is>
          <t>b</t>
        </is>
      </c>
      <c r="P74" s="32" t="inlineStr">
        <is>
          <t>d</t>
        </is>
      </c>
      <c r="Q74" s="32" t="inlineStr">
        <is>
          <t>a1a</t>
        </is>
      </c>
      <c r="R74" s="32" t="inlineStr">
        <is>
          <t>b2j</t>
        </is>
      </c>
      <c r="S74" s="32" t="inlineStr">
        <is>
          <t>c</t>
        </is>
      </c>
      <c r="T74" s="32" t="inlineStr">
        <is>
          <t>a5b5</t>
        </is>
      </c>
      <c r="U74" s="32" t="inlineStr">
        <is>
          <t>a4</t>
        </is>
      </c>
    </row>
    <row r="75" ht="14.25" customHeight="1" s="114">
      <c r="A75" s="97" t="inlineStr">
        <is>
          <t>O70</t>
        </is>
      </c>
      <c r="B75" s="97" t="n"/>
      <c r="C75" s="98" t="inlineStr">
        <is>
          <t>Odem</t>
        </is>
      </c>
      <c r="D75" s="98" t="inlineStr">
        <is>
          <t>Odem</t>
        </is>
      </c>
      <c r="E75" s="97" t="n"/>
      <c r="F75" s="98" t="n">
        <v>33</v>
      </c>
      <c r="G75" s="32" t="inlineStr">
        <is>
          <t>pack</t>
        </is>
      </c>
      <c r="H75" s="77" t="inlineStr">
        <is>
          <t>Odem west</t>
        </is>
      </c>
      <c r="I75" s="32" t="n"/>
      <c r="J75" s="32" t="n"/>
      <c r="K75" s="32" t="inlineStr">
        <is>
          <t>28.9-29.11.20</t>
        </is>
      </c>
      <c r="L75" s="32" t="inlineStr">
        <is>
          <t>A1c1yfA2a5fB3Ra2bLbB4b2bB5a1bC6c1fC7a1D8a3b3D9a2</t>
        </is>
      </c>
      <c r="M75" s="32" t="inlineStr">
        <is>
          <t>c1yf</t>
        </is>
      </c>
      <c r="N75" s="32" t="inlineStr">
        <is>
          <t>a5f</t>
        </is>
      </c>
      <c r="O75" s="32" t="inlineStr">
        <is>
          <t>Ra2bLb</t>
        </is>
      </c>
      <c r="P75" s="32" t="inlineStr">
        <is>
          <t>b2b</t>
        </is>
      </c>
      <c r="Q75" s="32" t="inlineStr">
        <is>
          <t>a1b</t>
        </is>
      </c>
      <c r="R75" s="32" t="inlineStr">
        <is>
          <t>c1f</t>
        </is>
      </c>
      <c r="S75" s="32" t="inlineStr">
        <is>
          <t>a1</t>
        </is>
      </c>
      <c r="T75" s="32" t="inlineStr">
        <is>
          <t>a3b3</t>
        </is>
      </c>
      <c r="U75" s="32" t="inlineStr">
        <is>
          <t>a2</t>
        </is>
      </c>
    </row>
    <row r="76" ht="14.25" customHeight="1" s="114">
      <c r="A76" s="97" t="inlineStr">
        <is>
          <t>O71</t>
        </is>
      </c>
      <c r="B76" s="97" t="n"/>
      <c r="C76" s="98" t="inlineStr">
        <is>
          <t>Odem</t>
        </is>
      </c>
      <c r="D76" s="98" t="inlineStr">
        <is>
          <t>Odem</t>
        </is>
      </c>
      <c r="E76" s="97" t="n"/>
      <c r="F76" s="98" t="n">
        <v>33</v>
      </c>
      <c r="G76" s="32" t="inlineStr">
        <is>
          <t>pack</t>
        </is>
      </c>
      <c r="H76" s="77" t="inlineStr">
        <is>
          <t>Odem west</t>
        </is>
      </c>
      <c r="I76" s="32" t="n"/>
      <c r="J76" s="32" t="n"/>
      <c r="K76" s="32" t="inlineStr">
        <is>
          <t>28.9-11.12.20</t>
        </is>
      </c>
      <c r="L76" s="32" t="inlineStr">
        <is>
          <t>A1b4iA2a8iB3bB4b2bB5a1bC6c1gC7a1D8a4b5D9a2</t>
        </is>
      </c>
      <c r="M76" s="32" t="inlineStr">
        <is>
          <t>b4f</t>
        </is>
      </c>
      <c r="N76" s="32" t="inlineStr">
        <is>
          <t>a8i</t>
        </is>
      </c>
      <c r="O76" s="32" t="inlineStr">
        <is>
          <t>b</t>
        </is>
      </c>
      <c r="P76" s="32" t="inlineStr">
        <is>
          <t>b2b</t>
        </is>
      </c>
      <c r="Q76" s="32" t="inlineStr">
        <is>
          <t>a1b</t>
        </is>
      </c>
      <c r="R76" s="32" t="inlineStr">
        <is>
          <t>c1g</t>
        </is>
      </c>
      <c r="S76" s="32" t="inlineStr">
        <is>
          <t>a1</t>
        </is>
      </c>
      <c r="T76" s="32" t="inlineStr">
        <is>
          <t>a4b5</t>
        </is>
      </c>
      <c r="U76" s="32" t="inlineStr">
        <is>
          <t>a2</t>
        </is>
      </c>
    </row>
    <row r="77" ht="14.25" customHeight="1" s="114">
      <c r="A77" s="97" t="inlineStr">
        <is>
          <t>O72</t>
        </is>
      </c>
      <c r="B77" s="97" t="n"/>
      <c r="C77" s="98" t="inlineStr">
        <is>
          <t>Odem</t>
        </is>
      </c>
      <c r="D77" s="98" t="inlineStr">
        <is>
          <t>Odem</t>
        </is>
      </c>
      <c r="E77" s="97" t="n"/>
      <c r="F77" s="98" t="n">
        <v>33</v>
      </c>
      <c r="G77" s="32" t="inlineStr">
        <is>
          <t>pack</t>
        </is>
      </c>
      <c r="H77" s="78" t="inlineStr">
        <is>
          <t>Odem west</t>
        </is>
      </c>
      <c r="I77" s="32" t="n"/>
      <c r="J77" s="32" t="n"/>
      <c r="K77" s="32" t="inlineStr">
        <is>
          <t>28.9.20</t>
        </is>
      </c>
      <c r="L77" s="32" t="inlineStr">
        <is>
          <t>A1a1wyiA2a4iB3bB4dB5NC6c3iC7b1D8a3b5D9a2</t>
        </is>
      </c>
      <c r="M77" s="32" t="inlineStr">
        <is>
          <t>a1wyi</t>
        </is>
      </c>
      <c r="N77" s="32" t="inlineStr">
        <is>
          <t>a4i</t>
        </is>
      </c>
      <c r="O77" s="32" t="inlineStr">
        <is>
          <t>b</t>
        </is>
      </c>
      <c r="P77" s="32" t="inlineStr">
        <is>
          <t>d</t>
        </is>
      </c>
      <c r="Q77" s="32" t="inlineStr">
        <is>
          <t>N</t>
        </is>
      </c>
      <c r="R77" s="32" t="inlineStr">
        <is>
          <t>c3i</t>
        </is>
      </c>
      <c r="S77" s="32" t="inlineStr">
        <is>
          <t>b2</t>
        </is>
      </c>
      <c r="T77" s="32" t="inlineStr">
        <is>
          <t>a3b5</t>
        </is>
      </c>
      <c r="U77" s="32" t="inlineStr">
        <is>
          <t>a2</t>
        </is>
      </c>
    </row>
    <row r="78" ht="14.25" customHeight="1" s="114">
      <c r="A78" s="97" t="inlineStr">
        <is>
          <t>O73</t>
        </is>
      </c>
      <c r="B78" s="97" t="n"/>
      <c r="C78" s="98" t="inlineStr">
        <is>
          <t>Odem</t>
        </is>
      </c>
      <c r="D78" s="98" t="inlineStr">
        <is>
          <t>Odem</t>
        </is>
      </c>
      <c r="E78" s="97" t="n"/>
      <c r="F78" s="98" t="n">
        <v>33</v>
      </c>
      <c r="G78" s="32" t="inlineStr">
        <is>
          <t>unknown</t>
        </is>
      </c>
      <c r="H78" s="79" t="inlineStr">
        <is>
          <t>?</t>
        </is>
      </c>
      <c r="I78" s="32" t="n"/>
      <c r="J78" s="32" t="inlineStr">
        <is>
          <t>dark fur, 2 light circles on the cheek, dark mark on front-right leg</t>
        </is>
      </c>
      <c r="K78" s="32" t="inlineStr">
        <is>
          <t>8.10.20</t>
        </is>
      </c>
      <c r="L78" s="32" t="inlineStr">
        <is>
          <t>A1c2xeA2a5eB3NB4b2bB5NC6b1gC7ND8a2b3D9a3</t>
        </is>
      </c>
      <c r="M78" s="32" t="inlineStr">
        <is>
          <t>c2xe</t>
        </is>
      </c>
      <c r="N78" s="32" t="inlineStr">
        <is>
          <t>a5e</t>
        </is>
      </c>
      <c r="O78" s="32" t="inlineStr">
        <is>
          <t>N</t>
        </is>
      </c>
      <c r="P78" s="32" t="inlineStr">
        <is>
          <t>b2b</t>
        </is>
      </c>
      <c r="Q78" s="32" t="inlineStr">
        <is>
          <t>N</t>
        </is>
      </c>
      <c r="R78" s="32" t="inlineStr">
        <is>
          <t>b1g</t>
        </is>
      </c>
      <c r="S78" s="32" t="inlineStr">
        <is>
          <t>N</t>
        </is>
      </c>
      <c r="T78" s="32" t="inlineStr">
        <is>
          <t>a2b3</t>
        </is>
      </c>
      <c r="U78" s="32" t="inlineStr">
        <is>
          <t>a3</t>
        </is>
      </c>
    </row>
    <row r="79" ht="14.25" customHeight="1" s="114">
      <c r="A79" s="97" t="inlineStr">
        <is>
          <t>O74</t>
        </is>
      </c>
      <c r="B79" s="97" t="n"/>
      <c r="C79" s="98" t="inlineStr">
        <is>
          <t>Odem</t>
        </is>
      </c>
      <c r="D79" s="98" t="inlineStr">
        <is>
          <t>Odem</t>
        </is>
      </c>
      <c r="E79" s="97" t="n"/>
      <c r="F79" s="98" t="n">
        <v>34</v>
      </c>
      <c r="G79" s="32" t="inlineStr">
        <is>
          <t>group</t>
        </is>
      </c>
      <c r="H79" s="80" t="inlineStr">
        <is>
          <t>Odem South</t>
        </is>
      </c>
      <c r="I79" s="32" t="n"/>
      <c r="J79" s="32" t="n"/>
      <c r="K79" s="32" t="inlineStr">
        <is>
          <t>28.9-13.11.20</t>
        </is>
      </c>
      <c r="L79" s="32" t="inlineStr">
        <is>
          <t>A1c1zeA2a5eB3a2aB4c1bB5c1bC6a2eC7ND8a1D9a3</t>
        </is>
      </c>
      <c r="M79" s="32" t="inlineStr">
        <is>
          <t>c1ze</t>
        </is>
      </c>
      <c r="N79" s="32" t="inlineStr">
        <is>
          <t>a5e</t>
        </is>
      </c>
      <c r="O79" s="32" t="inlineStr">
        <is>
          <t>a2a</t>
        </is>
      </c>
      <c r="P79" s="32" t="inlineStr">
        <is>
          <t>c1b</t>
        </is>
      </c>
      <c r="Q79" s="32" t="inlineStr">
        <is>
          <t>c1b</t>
        </is>
      </c>
      <c r="R79" s="32" t="inlineStr">
        <is>
          <t>a2e</t>
        </is>
      </c>
      <c r="S79" s="32" t="inlineStr">
        <is>
          <t>N</t>
        </is>
      </c>
      <c r="T79" s="32" t="inlineStr">
        <is>
          <t>a1</t>
        </is>
      </c>
      <c r="U79" s="32" t="inlineStr">
        <is>
          <t>a3</t>
        </is>
      </c>
    </row>
    <row r="80" ht="14.25" customHeight="1" s="114">
      <c r="A80" s="97" t="inlineStr">
        <is>
          <t>O75</t>
        </is>
      </c>
      <c r="B80" s="97" t="n"/>
      <c r="C80" s="98" t="inlineStr">
        <is>
          <t>Odem</t>
        </is>
      </c>
      <c r="D80" s="98" t="inlineStr">
        <is>
          <t>Odem</t>
        </is>
      </c>
      <c r="E80" s="97" t="n"/>
      <c r="F80" s="98" t="n">
        <v>34</v>
      </c>
      <c r="G80" s="32" t="inlineStr">
        <is>
          <t>group</t>
        </is>
      </c>
      <c r="H80" s="81" t="inlineStr">
        <is>
          <t>Odem South</t>
        </is>
      </c>
      <c r="I80" s="32" t="n"/>
      <c r="J80" s="32" t="n"/>
      <c r="K80" s="32" t="inlineStr">
        <is>
          <t>28.9-7.12.20</t>
        </is>
      </c>
      <c r="L80" s="32" t="inlineStr">
        <is>
          <t>A1aeA2NB3a3bB4c1bB5c1bC6eC7ND8a1D9a3</t>
        </is>
      </c>
      <c r="M80" s="32" t="inlineStr">
        <is>
          <t>ae</t>
        </is>
      </c>
      <c r="N80" s="32" t="inlineStr">
        <is>
          <t>N</t>
        </is>
      </c>
      <c r="O80" s="32" t="inlineStr">
        <is>
          <t>a3b</t>
        </is>
      </c>
      <c r="P80" s="32" t="inlineStr">
        <is>
          <t>c1b</t>
        </is>
      </c>
      <c r="Q80" s="32" t="inlineStr">
        <is>
          <t>c1b</t>
        </is>
      </c>
      <c r="R80" s="32" t="inlineStr">
        <is>
          <t>e</t>
        </is>
      </c>
      <c r="S80" s="32" t="inlineStr">
        <is>
          <t>N</t>
        </is>
      </c>
      <c r="T80" s="32" t="inlineStr">
        <is>
          <t>a1</t>
        </is>
      </c>
      <c r="U80" s="32" t="inlineStr">
        <is>
          <t>a3</t>
        </is>
      </c>
    </row>
    <row r="81" ht="14.25" customHeight="1" s="114">
      <c r="A81" s="83" t="inlineStr">
        <is>
          <t>O76</t>
        </is>
      </c>
      <c r="B81" s="83" t="n"/>
      <c r="C81" s="84" t="inlineStr">
        <is>
          <t>Odem</t>
        </is>
      </c>
      <c r="D81" s="84" t="inlineStr">
        <is>
          <t>Odem</t>
        </is>
      </c>
      <c r="E81" s="83" t="n"/>
      <c r="F81" s="84" t="inlineStr">
        <is>
          <t>34, 35</t>
        </is>
      </c>
      <c r="G81" s="87" t="inlineStr">
        <is>
          <t>pack</t>
        </is>
      </c>
      <c r="H81" s="110" t="inlineStr">
        <is>
          <t>Odem East</t>
        </is>
      </c>
      <c r="I81" s="87" t="n"/>
      <c r="J81" s="87" t="inlineStr">
        <is>
          <t>light gray-yellow fur</t>
        </is>
      </c>
      <c r="K81" s="87" t="inlineStr">
        <is>
          <t>22.10-12.12.20</t>
        </is>
      </c>
      <c r="L81" s="87" t="n"/>
      <c r="M81" s="87" t="n"/>
      <c r="N81" s="87" t="n"/>
      <c r="O81" s="87" t="n"/>
      <c r="P81" s="87" t="n"/>
      <c r="Q81" s="87" t="n"/>
      <c r="R81" s="87" t="n"/>
      <c r="S81" s="87" t="n"/>
      <c r="T81" s="87" t="n"/>
      <c r="U81" s="87" t="n"/>
      <c r="V81" s="87" t="n"/>
      <c r="W81" s="87" t="n"/>
      <c r="X81" s="87" t="n"/>
      <c r="Y81" s="87" t="n"/>
      <c r="Z81" s="87" t="n"/>
    </row>
    <row r="82" ht="14.25" customHeight="1" s="114">
      <c r="A82" s="97" t="inlineStr">
        <is>
          <t>O77</t>
        </is>
      </c>
      <c r="B82" s="97" t="n"/>
      <c r="C82" s="98" t="inlineStr">
        <is>
          <t>Odem</t>
        </is>
      </c>
      <c r="D82" s="98" t="inlineStr">
        <is>
          <t>Odem</t>
        </is>
      </c>
      <c r="E82" s="97" t="n"/>
      <c r="F82" s="98" t="n">
        <v>34</v>
      </c>
      <c r="G82" s="32" t="inlineStr">
        <is>
          <t>unknown</t>
        </is>
      </c>
      <c r="H82" s="82" t="inlineStr">
        <is>
          <t>?</t>
        </is>
      </c>
      <c r="I82" s="32" t="n"/>
      <c r="J82" s="32" t="n"/>
      <c r="K82" s="32" t="inlineStr">
        <is>
          <t>28.11.20</t>
        </is>
      </c>
      <c r="L82" s="32" t="inlineStr">
        <is>
          <t>A1Ra3vzfLb1fA2a2fB3a2bB4b2bB5a1bC6b1gC7cD8a4D9a2</t>
        </is>
      </c>
      <c r="M82" s="32" t="inlineStr">
        <is>
          <t>Ra3vzfLb1f</t>
        </is>
      </c>
      <c r="N82" s="32" t="inlineStr">
        <is>
          <t>a2f</t>
        </is>
      </c>
      <c r="O82" s="32" t="inlineStr">
        <is>
          <t>a2b</t>
        </is>
      </c>
      <c r="P82" s="32" t="inlineStr">
        <is>
          <t>b2b</t>
        </is>
      </c>
      <c r="Q82" s="32" t="inlineStr">
        <is>
          <t>a1b</t>
        </is>
      </c>
      <c r="R82" s="32" t="inlineStr">
        <is>
          <t>b1g</t>
        </is>
      </c>
      <c r="S82" s="32" t="inlineStr">
        <is>
          <t>c</t>
        </is>
      </c>
      <c r="T82" s="32" t="inlineStr">
        <is>
          <t>a1</t>
        </is>
      </c>
      <c r="U82" s="32" t="inlineStr">
        <is>
          <t>a2</t>
        </is>
      </c>
    </row>
    <row r="83" ht="14.25" customHeight="1" s="114">
      <c r="A83" s="83" t="inlineStr">
        <is>
          <t>O78</t>
        </is>
      </c>
      <c r="B83" s="83" t="n"/>
      <c r="C83" s="84" t="inlineStr">
        <is>
          <t>Odem</t>
        </is>
      </c>
      <c r="D83" s="84" t="inlineStr">
        <is>
          <t>Odem</t>
        </is>
      </c>
      <c r="E83" s="83" t="n"/>
      <c r="F83" s="84" t="n">
        <v>35</v>
      </c>
      <c r="G83" s="87" t="inlineStr">
        <is>
          <t>pack</t>
        </is>
      </c>
      <c r="H83" s="110" t="inlineStr">
        <is>
          <t>Odem East</t>
        </is>
      </c>
      <c r="I83" s="87" t="n"/>
      <c r="J83" s="87" t="n"/>
      <c r="K83" s="87" t="inlineStr">
        <is>
          <t>7.11-6.12.20</t>
        </is>
      </c>
      <c r="L83" s="87" t="n"/>
      <c r="M83" s="87" t="n"/>
      <c r="N83" s="87" t="n"/>
      <c r="O83" s="87" t="n"/>
      <c r="P83" s="87" t="n"/>
      <c r="Q83" s="87" t="n"/>
      <c r="R83" s="87" t="n"/>
      <c r="S83" s="87" t="n"/>
      <c r="T83" s="87" t="n"/>
      <c r="U83" s="87" t="n"/>
      <c r="V83" s="87" t="n"/>
      <c r="W83" s="87" t="n"/>
      <c r="X83" s="87" t="n"/>
      <c r="Y83" s="87" t="n"/>
      <c r="Z83" s="87" t="n"/>
    </row>
    <row r="84" ht="14.25" customHeight="1" s="114">
      <c r="A84" s="17" t="inlineStr">
        <is>
          <t>O79</t>
        </is>
      </c>
      <c r="B84" s="17" t="n"/>
      <c r="C84" s="18" t="inlineStr">
        <is>
          <t>Odem</t>
        </is>
      </c>
      <c r="D84" s="18" t="inlineStr">
        <is>
          <t>Odem</t>
        </is>
      </c>
      <c r="E84" s="17" t="n"/>
      <c r="F84" s="18" t="inlineStr">
        <is>
          <t>34, 35</t>
        </is>
      </c>
      <c r="G84" s="112" t="inlineStr">
        <is>
          <t>unknown</t>
        </is>
      </c>
      <c r="H84" s="111" t="inlineStr">
        <is>
          <t>?</t>
        </is>
      </c>
      <c r="I84" s="112" t="n"/>
      <c r="J84" s="112" t="inlineStr">
        <is>
          <t>זיהוי לא ודאי מספיק, למחוק</t>
        </is>
      </c>
      <c r="K84" s="112" t="inlineStr">
        <is>
          <t>10-28.11.20</t>
        </is>
      </c>
      <c r="L84" s="112" t="n"/>
      <c r="M84" s="112" t="n"/>
      <c r="N84" s="112" t="n"/>
      <c r="O84" s="112" t="n"/>
      <c r="P84" s="112" t="n"/>
      <c r="Q84" s="112" t="n"/>
      <c r="R84" s="112" t="n"/>
      <c r="S84" s="112" t="n"/>
      <c r="T84" s="112" t="n"/>
      <c r="U84" s="112" t="n"/>
      <c r="V84" s="112" t="n"/>
      <c r="W84" s="112" t="n"/>
      <c r="X84" s="112" t="n"/>
      <c r="Y84" s="112" t="n"/>
      <c r="Z84" s="112" t="n"/>
    </row>
    <row r="85" ht="14.25" customHeight="1" s="114">
      <c r="A85" s="97" t="inlineStr">
        <is>
          <t>O80</t>
        </is>
      </c>
      <c r="B85" s="97" t="n"/>
      <c r="C85" s="98" t="inlineStr">
        <is>
          <t>Odem</t>
        </is>
      </c>
      <c r="D85" s="98" t="inlineStr">
        <is>
          <t>Odem</t>
        </is>
      </c>
      <c r="E85" s="97" t="n"/>
      <c r="F85" s="98" t="n">
        <v>35</v>
      </c>
      <c r="G85" s="32" t="inlineStr">
        <is>
          <t>pack</t>
        </is>
      </c>
      <c r="H85" s="113" t="inlineStr">
        <is>
          <t>Odem East</t>
        </is>
      </c>
      <c r="I85" s="32" t="n"/>
      <c r="J85" s="32" t="n"/>
      <c r="K85" s="32" t="inlineStr">
        <is>
          <t>11.10.20</t>
        </is>
      </c>
      <c r="L85" s="32" t="inlineStr">
        <is>
          <t>A1b3kA2a1kB3bB4dB5a1aC6b1jC7cD8a5b5D9a1</t>
        </is>
      </c>
      <c r="M85" s="32" t="inlineStr">
        <is>
          <t>b3k</t>
        </is>
      </c>
      <c r="N85" s="32" t="inlineStr">
        <is>
          <t>a1k</t>
        </is>
      </c>
      <c r="O85" s="32" t="inlineStr">
        <is>
          <t>b</t>
        </is>
      </c>
      <c r="P85" s="32" t="inlineStr">
        <is>
          <t>d</t>
        </is>
      </c>
      <c r="Q85" s="32" t="inlineStr">
        <is>
          <t>a1a</t>
        </is>
      </c>
      <c r="R85" s="32" t="inlineStr">
        <is>
          <t>b1j</t>
        </is>
      </c>
      <c r="S85" s="32" t="inlineStr">
        <is>
          <t>c</t>
        </is>
      </c>
      <c r="T85" s="32" t="inlineStr">
        <is>
          <t>a5b5</t>
        </is>
      </c>
      <c r="U85" s="32" t="inlineStr">
        <is>
          <t>a1</t>
        </is>
      </c>
    </row>
    <row r="86" ht="14.25" customHeight="1" s="114">
      <c r="A86" s="97" t="inlineStr">
        <is>
          <t>O81</t>
        </is>
      </c>
      <c r="B86" s="97" t="n"/>
      <c r="C86" s="98" t="inlineStr">
        <is>
          <t>Odem</t>
        </is>
      </c>
      <c r="D86" s="98" t="inlineStr">
        <is>
          <t>Odem</t>
        </is>
      </c>
      <c r="E86" s="97" t="n"/>
      <c r="F86" s="98" t="n">
        <v>35</v>
      </c>
      <c r="G86" s="32" t="inlineStr">
        <is>
          <t>pack</t>
        </is>
      </c>
      <c r="H86" s="88" t="inlineStr">
        <is>
          <t>Odem East</t>
        </is>
      </c>
      <c r="I86" s="32" t="n"/>
      <c r="J86" s="32" t="n"/>
      <c r="K86" s="32" t="inlineStr">
        <is>
          <t>13.11.20</t>
        </is>
      </c>
      <c r="L86" s="32" t="inlineStr">
        <is>
          <t>A1a2vyeA2a3eB3PB4b2bB5a1bC6a3fC7a1D8a3D9a3</t>
        </is>
      </c>
      <c r="M86" s="32" t="inlineStr">
        <is>
          <t>a2vye</t>
        </is>
      </c>
      <c r="N86" s="32" t="inlineStr">
        <is>
          <t>a3e</t>
        </is>
      </c>
      <c r="O86" s="32" t="inlineStr">
        <is>
          <t>P</t>
        </is>
      </c>
      <c r="P86" s="32" t="inlineStr">
        <is>
          <t>b2b</t>
        </is>
      </c>
      <c r="Q86" s="32" t="inlineStr">
        <is>
          <t>a1b</t>
        </is>
      </c>
      <c r="R86" s="32" t="inlineStr">
        <is>
          <t>a3f</t>
        </is>
      </c>
      <c r="S86" s="32" t="inlineStr">
        <is>
          <t>a1</t>
        </is>
      </c>
      <c r="T86" s="32" t="inlineStr">
        <is>
          <t>a3</t>
        </is>
      </c>
      <c r="U86" s="32" t="inlineStr">
        <is>
          <t>a3</t>
        </is>
      </c>
    </row>
    <row r="87" ht="14.25" customHeight="1" s="114">
      <c r="A87" s="97" t="inlineStr">
        <is>
          <t>O82</t>
        </is>
      </c>
      <c r="B87" s="97" t="n"/>
      <c r="C87" s="98" t="inlineStr">
        <is>
          <t>Odem</t>
        </is>
      </c>
      <c r="D87" s="98" t="inlineStr">
        <is>
          <t>Odem</t>
        </is>
      </c>
      <c r="E87" s="97" t="n"/>
      <c r="F87" s="98" t="inlineStr">
        <is>
          <t>35, 32</t>
        </is>
      </c>
      <c r="G87" s="32" t="inlineStr">
        <is>
          <t>pack</t>
        </is>
      </c>
      <c r="H87" s="89" t="inlineStr">
        <is>
          <t>Odem East</t>
        </is>
      </c>
      <c r="I87" s="32" t="n"/>
      <c r="J87" s="32" t="inlineStr">
        <is>
          <t>light beige fur, dog-like features</t>
        </is>
      </c>
      <c r="K87" s="32" t="inlineStr">
        <is>
          <t>11-20.11.20</t>
        </is>
      </c>
      <c r="L87" s="32" t="inlineStr">
        <is>
          <t>A1b2nA2NB3NB4PaB5NC6dlC7cD8a8D9a1</t>
        </is>
      </c>
      <c r="M87" s="32" t="inlineStr">
        <is>
          <t>b2n</t>
        </is>
      </c>
      <c r="N87" s="32" t="inlineStr">
        <is>
          <t>N</t>
        </is>
      </c>
      <c r="O87" s="32" t="inlineStr">
        <is>
          <t>Pa</t>
        </is>
      </c>
      <c r="P87" s="32" t="inlineStr">
        <is>
          <t>N</t>
        </is>
      </c>
      <c r="Q87" s="32" t="inlineStr">
        <is>
          <t>dl</t>
        </is>
      </c>
      <c r="R87" s="32" t="inlineStr">
        <is>
          <t>c</t>
        </is>
      </c>
      <c r="S87" s="32" t="inlineStr">
        <is>
          <t>c</t>
        </is>
      </c>
      <c r="T87" s="32" t="inlineStr">
        <is>
          <t>a8</t>
        </is>
      </c>
      <c r="U87" s="32" t="inlineStr">
        <is>
          <t>a1</t>
        </is>
      </c>
    </row>
    <row r="88" ht="14.25" customHeight="1" s="114">
      <c r="A88" s="97" t="inlineStr">
        <is>
          <t>Sn83</t>
        </is>
      </c>
      <c r="B88" s="97" t="n"/>
      <c r="C88" s="98" t="inlineStr">
        <is>
          <t>Snir</t>
        </is>
      </c>
      <c r="D88" s="98" t="inlineStr">
        <is>
          <t>Snir</t>
        </is>
      </c>
      <c r="E88" s="97" t="n"/>
      <c r="F88" s="98" t="n">
        <v>56</v>
      </c>
      <c r="G88" s="32" t="inlineStr">
        <is>
          <t>lone</t>
        </is>
      </c>
      <c r="H88" s="11" t="inlineStr">
        <is>
          <t>lone</t>
        </is>
      </c>
      <c r="I88" s="32" t="n"/>
      <c r="J88" s="32" t="n"/>
      <c r="K88" s="32" t="inlineStr">
        <is>
          <t>29.11.20</t>
        </is>
      </c>
      <c r="L88" s="32" t="inlineStr">
        <is>
          <t>A1b3iA2a7jB3NB4NB5NC6b2gC7cD8a5b3D9a4</t>
        </is>
      </c>
      <c r="M88" s="32" t="inlineStr">
        <is>
          <t>b3i</t>
        </is>
      </c>
      <c r="N88" s="32" t="inlineStr">
        <is>
          <t>a7j</t>
        </is>
      </c>
      <c r="O88" s="32" t="inlineStr">
        <is>
          <t>N</t>
        </is>
      </c>
      <c r="P88" s="32" t="inlineStr">
        <is>
          <t>N</t>
        </is>
      </c>
      <c r="Q88" s="32" t="inlineStr">
        <is>
          <t>N</t>
        </is>
      </c>
      <c r="R88" s="32" t="inlineStr">
        <is>
          <t>b2g</t>
        </is>
      </c>
      <c r="S88" s="32" t="inlineStr">
        <is>
          <t>c</t>
        </is>
      </c>
      <c r="T88" s="32" t="inlineStr">
        <is>
          <t>a5b3</t>
        </is>
      </c>
      <c r="U88" s="32" t="inlineStr">
        <is>
          <t>a4</t>
        </is>
      </c>
    </row>
    <row r="89" ht="14.25" customHeight="1" s="114">
      <c r="A89" s="97" t="inlineStr">
        <is>
          <t>Sn84</t>
        </is>
      </c>
      <c r="B89" s="97" t="n"/>
      <c r="C89" s="98" t="inlineStr">
        <is>
          <t>Snir</t>
        </is>
      </c>
      <c r="D89" s="98" t="inlineStr">
        <is>
          <t>Snir</t>
        </is>
      </c>
      <c r="E89" s="97" t="n"/>
      <c r="F89" s="98" t="n">
        <v>59</v>
      </c>
      <c r="G89" s="32" t="inlineStr">
        <is>
          <t>lone</t>
        </is>
      </c>
      <c r="H89" s="11" t="inlineStr">
        <is>
          <t>lone</t>
        </is>
      </c>
      <c r="I89" s="32" t="n"/>
      <c r="J89" s="32" t="n"/>
      <c r="K89" s="32" t="inlineStr">
        <is>
          <t>28.9.20</t>
        </is>
      </c>
      <c r="L89" s="32" t="inlineStr">
        <is>
          <t>A1a1txgA2a1gB3NB5NC6b1hC7cD8a4D9a2</t>
        </is>
      </c>
      <c r="M89" s="32" t="inlineStr">
        <is>
          <t>a1txg</t>
        </is>
      </c>
      <c r="N89" s="32" t="inlineStr">
        <is>
          <t>a1g</t>
        </is>
      </c>
      <c r="O89" s="32" t="inlineStr">
        <is>
          <t>N</t>
        </is>
      </c>
      <c r="P89" s="32" t="inlineStr">
        <is>
          <t>N</t>
        </is>
      </c>
      <c r="Q89" s="32" t="inlineStr">
        <is>
          <t>N</t>
        </is>
      </c>
      <c r="R89" s="32" t="inlineStr">
        <is>
          <t>b1h</t>
        </is>
      </c>
      <c r="S89" s="32" t="inlineStr">
        <is>
          <t>c</t>
        </is>
      </c>
      <c r="T89" s="32" t="inlineStr">
        <is>
          <t>a4</t>
        </is>
      </c>
      <c r="U89" s="32" t="inlineStr">
        <is>
          <t>a2</t>
        </is>
      </c>
    </row>
    <row r="90" ht="14.25" customHeight="1" s="114">
      <c r="A90" s="97" t="inlineStr">
        <is>
          <t>Sn85</t>
        </is>
      </c>
      <c r="B90" s="97" t="n"/>
      <c r="C90" s="98" t="inlineStr">
        <is>
          <t>Snir</t>
        </is>
      </c>
      <c r="D90" s="98" t="inlineStr">
        <is>
          <t>Snir</t>
        </is>
      </c>
      <c r="E90" s="97" t="n"/>
      <c r="F90" s="98" t="n">
        <v>59</v>
      </c>
      <c r="G90" s="32" t="inlineStr">
        <is>
          <t>unknown</t>
        </is>
      </c>
      <c r="H90" s="23" t="n"/>
      <c r="I90" s="23" t="inlineStr">
        <is>
          <t>seen together</t>
        </is>
      </c>
      <c r="J90" s="32" t="n"/>
      <c r="K90" s="32" t="inlineStr">
        <is>
          <t>29.11.20</t>
        </is>
      </c>
      <c r="L90" s="32" t="inlineStr">
        <is>
          <t>A1iA2iB3NB4PB5NC6b1gC7cD8a4b1D9a2</t>
        </is>
      </c>
      <c r="M90" s="32" t="inlineStr">
        <is>
          <t>i</t>
        </is>
      </c>
      <c r="N90" s="32" t="inlineStr">
        <is>
          <t>i</t>
        </is>
      </c>
      <c r="O90" s="32" t="inlineStr">
        <is>
          <t>N</t>
        </is>
      </c>
      <c r="P90" s="32" t="inlineStr">
        <is>
          <t>P</t>
        </is>
      </c>
      <c r="Q90" s="32" t="inlineStr">
        <is>
          <t>N</t>
        </is>
      </c>
      <c r="R90" s="32" t="inlineStr">
        <is>
          <t>b1g</t>
        </is>
      </c>
      <c r="S90" s="32" t="inlineStr">
        <is>
          <t>c</t>
        </is>
      </c>
      <c r="T90" s="32" t="inlineStr">
        <is>
          <t>a4b1</t>
        </is>
      </c>
      <c r="U90" s="32" t="inlineStr">
        <is>
          <t>a2</t>
        </is>
      </c>
    </row>
    <row r="91" ht="14.25" customHeight="1" s="114">
      <c r="A91" s="17" t="inlineStr">
        <is>
          <t>Sn86</t>
        </is>
      </c>
      <c r="B91" s="17" t="n"/>
      <c r="C91" s="18" t="inlineStr">
        <is>
          <t>Snir</t>
        </is>
      </c>
      <c r="D91" s="18" t="inlineStr">
        <is>
          <t>Snir</t>
        </is>
      </c>
      <c r="E91" s="17" t="n"/>
      <c r="F91" s="18" t="n">
        <v>59</v>
      </c>
      <c r="G91" s="112" t="inlineStr">
        <is>
          <t>unknown</t>
        </is>
      </c>
      <c r="H91" s="20" t="n"/>
      <c r="I91" s="20" t="inlineStr">
        <is>
          <t>seen together</t>
        </is>
      </c>
      <c r="J91" s="112" t="n"/>
      <c r="K91" s="112" t="inlineStr">
        <is>
          <t>29.11.20</t>
        </is>
      </c>
      <c r="L91" s="112" t="n"/>
      <c r="M91" s="112" t="n"/>
      <c r="N91" s="112" t="n"/>
      <c r="O91" s="112" t="n"/>
      <c r="P91" s="112" t="n"/>
      <c r="Q91" s="112" t="n"/>
      <c r="R91" s="112" t="n"/>
      <c r="S91" s="112" t="n"/>
      <c r="T91" s="112" t="n"/>
      <c r="U91" s="112" t="n"/>
      <c r="V91" s="112" t="n"/>
      <c r="W91" s="112" t="n"/>
      <c r="X91" s="112" t="n"/>
      <c r="Y91" s="112" t="n"/>
      <c r="Z91" s="112" t="n"/>
    </row>
    <row r="92" ht="14.25" customHeight="1" s="114">
      <c r="A92" s="97" t="inlineStr">
        <is>
          <t>Ma87sn</t>
        </is>
      </c>
      <c r="B92" s="97" t="n"/>
      <c r="C92" s="98" t="inlineStr">
        <is>
          <t>Snir,  masade</t>
        </is>
      </c>
      <c r="D92" s="98" t="inlineStr">
        <is>
          <t>masade</t>
        </is>
      </c>
      <c r="E92" s="97" t="n"/>
      <c r="F92" s="98" t="inlineStr">
        <is>
          <t>59, 40</t>
        </is>
      </c>
      <c r="G92" s="32" t="inlineStr">
        <is>
          <t>lone</t>
        </is>
      </c>
      <c r="H92" s="11" t="inlineStr">
        <is>
          <t>lone</t>
        </is>
      </c>
      <c r="I92" s="32" t="n"/>
      <c r="J92" s="32" t="n"/>
      <c r="K92" s="32" t="inlineStr">
        <is>
          <t>1.11-6.12.20</t>
        </is>
      </c>
      <c r="L92" s="32" t="inlineStr">
        <is>
          <t>A1a2tyfA2a7fB3a1bB4b1bB5a1bC6c1fC7a1D8a4b5D9a4</t>
        </is>
      </c>
      <c r="M92" s="32" t="inlineStr">
        <is>
          <t>a2tyf</t>
        </is>
      </c>
      <c r="N92" s="32" t="inlineStr">
        <is>
          <t>a7f</t>
        </is>
      </c>
      <c r="O92" s="32" t="inlineStr">
        <is>
          <t>a1b</t>
        </is>
      </c>
      <c r="P92" s="32" t="inlineStr">
        <is>
          <t>b1b</t>
        </is>
      </c>
      <c r="Q92" s="32" t="inlineStr">
        <is>
          <t>a1b</t>
        </is>
      </c>
      <c r="R92" s="32" t="inlineStr">
        <is>
          <t>c1f</t>
        </is>
      </c>
      <c r="S92" s="32" t="inlineStr">
        <is>
          <t>a1</t>
        </is>
      </c>
      <c r="T92" s="32" t="inlineStr">
        <is>
          <t>a4b5</t>
        </is>
      </c>
      <c r="U92" s="32" t="inlineStr">
        <is>
          <t>a4</t>
        </is>
      </c>
    </row>
    <row r="93" ht="14.25" customHeight="1" s="114">
      <c r="A93" s="97" t="inlineStr">
        <is>
          <t>Ma88</t>
        </is>
      </c>
      <c r="B93" s="97" t="n"/>
      <c r="C93" s="98" t="inlineStr">
        <is>
          <t>masade</t>
        </is>
      </c>
      <c r="D93" s="98" t="inlineStr">
        <is>
          <t>masade</t>
        </is>
      </c>
      <c r="E93" s="97" t="n"/>
      <c r="F93" s="98" t="n">
        <v>37</v>
      </c>
      <c r="G93" s="32" t="inlineStr">
        <is>
          <t>lone</t>
        </is>
      </c>
      <c r="H93" s="11" t="inlineStr">
        <is>
          <t>lone</t>
        </is>
      </c>
      <c r="I93" s="32" t="n"/>
      <c r="J93" s="32" t="n"/>
      <c r="K93" s="32" t="inlineStr">
        <is>
          <t>14.10.20</t>
        </is>
      </c>
      <c r="L93" s="32" t="inlineStr">
        <is>
          <t>A1d1mA2a3lB3a3B4c1bB5c1bC6c2hC7cD8a7D9a2</t>
        </is>
      </c>
      <c r="M93" s="32" t="inlineStr">
        <is>
          <t>d1m</t>
        </is>
      </c>
      <c r="N93" s="32" t="inlineStr">
        <is>
          <t>a3l</t>
        </is>
      </c>
      <c r="O93" s="32" t="inlineStr">
        <is>
          <t>a3</t>
        </is>
      </c>
      <c r="P93" s="32" t="inlineStr">
        <is>
          <t>c1b</t>
        </is>
      </c>
      <c r="Q93" s="32" t="inlineStr">
        <is>
          <t>c1b</t>
        </is>
      </c>
      <c r="R93" s="32" t="inlineStr">
        <is>
          <t>c2h</t>
        </is>
      </c>
      <c r="S93" s="32" t="inlineStr">
        <is>
          <t>c</t>
        </is>
      </c>
      <c r="T93" s="32" t="inlineStr">
        <is>
          <t>a7</t>
        </is>
      </c>
      <c r="U93" s="32" t="inlineStr">
        <is>
          <t>a2</t>
        </is>
      </c>
    </row>
    <row r="94" ht="14.25" customHeight="1" s="114">
      <c r="A94" s="97" t="inlineStr">
        <is>
          <t>In89</t>
        </is>
      </c>
      <c r="B94" s="97" t="n"/>
      <c r="C94" s="98" t="inlineStr">
        <is>
          <t>golan</t>
        </is>
      </c>
      <c r="D94" s="98" t="n"/>
      <c r="E94" s="97" t="n"/>
      <c r="F94" s="98" t="inlineStr">
        <is>
          <t>omer weiner</t>
        </is>
      </c>
      <c r="G94" s="32" t="n"/>
      <c r="H94" s="32" t="n"/>
      <c r="I94" s="32" t="n"/>
      <c r="J94" s="32" t="inlineStr">
        <is>
          <t>dark fur</t>
        </is>
      </c>
      <c r="K94" s="32" t="n">
        <v>5.22</v>
      </c>
      <c r="L94" s="32" t="inlineStr">
        <is>
          <t>A1eA2eB3NB4b2aB5a2bC6a7fC7b2D8ND9N</t>
        </is>
      </c>
      <c r="M94" s="32" t="inlineStr">
        <is>
          <t>e</t>
        </is>
      </c>
      <c r="N94" s="32" t="inlineStr">
        <is>
          <t>e</t>
        </is>
      </c>
      <c r="O94" s="32" t="inlineStr">
        <is>
          <t>N</t>
        </is>
      </c>
      <c r="P94" s="32" t="inlineStr">
        <is>
          <t>b2a</t>
        </is>
      </c>
      <c r="Q94" s="32" t="inlineStr">
        <is>
          <t>a2b</t>
        </is>
      </c>
      <c r="R94" s="32" t="inlineStr">
        <is>
          <t>a7f</t>
        </is>
      </c>
      <c r="S94" s="32" t="inlineStr">
        <is>
          <t>b2</t>
        </is>
      </c>
      <c r="T94" s="32" t="inlineStr">
        <is>
          <t>N</t>
        </is>
      </c>
      <c r="U94" s="32" t="inlineStr">
        <is>
          <t>N</t>
        </is>
      </c>
    </row>
    <row r="95" ht="14.25" customHeight="1" s="114">
      <c r="A95" s="97" t="inlineStr">
        <is>
          <t>Mg90</t>
        </is>
      </c>
      <c r="B95" s="97" t="n"/>
      <c r="C95" s="98" t="inlineStr">
        <is>
          <t>marom golan</t>
        </is>
      </c>
      <c r="D95" s="98" t="n"/>
      <c r="E95" s="97" t="inlineStr">
        <is>
          <t>f</t>
        </is>
      </c>
      <c r="F95" s="98" t="inlineStr">
        <is>
          <t>omer weiner</t>
        </is>
      </c>
      <c r="G95" s="32" t="n"/>
      <c r="H95" s="13" t="inlineStr">
        <is>
          <t>marom golan</t>
        </is>
      </c>
      <c r="I95" s="32" t="n"/>
      <c r="J95" s="32" t="inlineStr">
        <is>
          <t>big ears, tringle shape on the cheek, erez's female</t>
        </is>
      </c>
      <c r="K95" s="32" t="n">
        <v>9.2021</v>
      </c>
      <c r="L95" s="32" t="inlineStr">
        <is>
          <t>A1c1yiA2a5iB3a2bB4c3bB5c3bC6a3fC7a1D8a4D9N</t>
        </is>
      </c>
      <c r="M95" s="32" t="inlineStr">
        <is>
          <t>c1yi</t>
        </is>
      </c>
      <c r="N95" s="32" t="inlineStr">
        <is>
          <t>a5i</t>
        </is>
      </c>
      <c r="O95" s="32" t="inlineStr">
        <is>
          <t>a2b</t>
        </is>
      </c>
      <c r="P95" s="32" t="inlineStr">
        <is>
          <t>c3b</t>
        </is>
      </c>
      <c r="Q95" s="32" t="inlineStr">
        <is>
          <t>c3b</t>
        </is>
      </c>
      <c r="R95" s="32" t="inlineStr">
        <is>
          <t>a3f</t>
        </is>
      </c>
      <c r="S95" s="32" t="inlineStr">
        <is>
          <t>a1</t>
        </is>
      </c>
      <c r="T95" s="32" t="inlineStr">
        <is>
          <t>a4</t>
        </is>
      </c>
      <c r="U95" s="32" t="inlineStr">
        <is>
          <t>N</t>
        </is>
      </c>
    </row>
    <row r="96" ht="14.25" customHeight="1" s="114">
      <c r="A96" s="97" t="inlineStr">
        <is>
          <t>In91</t>
        </is>
      </c>
      <c r="B96" s="97" t="n"/>
      <c r="C96" s="98" t="inlineStr">
        <is>
          <t>golan</t>
        </is>
      </c>
      <c r="D96" s="98" t="n"/>
      <c r="E96" s="97" t="n"/>
      <c r="F96" s="98" t="inlineStr">
        <is>
          <t>ariel shamir</t>
        </is>
      </c>
      <c r="G96" s="32" t="n"/>
      <c r="H96" s="32" t="n"/>
      <c r="I96" s="32" t="n"/>
      <c r="J96" s="32" t="inlineStr">
        <is>
          <t>light neck, dark face</t>
        </is>
      </c>
      <c r="K96" s="32" t="inlineStr">
        <is>
          <t>12.2016-1.2019</t>
        </is>
      </c>
      <c r="L96" s="32" t="inlineStr">
        <is>
          <t>A1eA2eB3NB4NB5NC6a4eC7a1D8a7D9a4</t>
        </is>
      </c>
      <c r="M96" s="32" t="inlineStr">
        <is>
          <t>e</t>
        </is>
      </c>
      <c r="N96" s="32" t="inlineStr">
        <is>
          <t>e</t>
        </is>
      </c>
      <c r="O96" s="32" t="inlineStr">
        <is>
          <t>N</t>
        </is>
      </c>
      <c r="P96" s="32" t="inlineStr">
        <is>
          <t>N</t>
        </is>
      </c>
      <c r="Q96" s="32" t="inlineStr">
        <is>
          <t>N</t>
        </is>
      </c>
      <c r="R96" s="32" t="inlineStr">
        <is>
          <t>a4e</t>
        </is>
      </c>
      <c r="S96" s="32" t="inlineStr">
        <is>
          <t>a1</t>
        </is>
      </c>
      <c r="T96" s="32" t="inlineStr">
        <is>
          <t>a7</t>
        </is>
      </c>
      <c r="U96" s="32" t="inlineStr">
        <is>
          <t>a4</t>
        </is>
      </c>
    </row>
    <row r="97" ht="14.25" customHeight="1" s="114">
      <c r="A97" s="97" t="inlineStr">
        <is>
          <t>In92</t>
        </is>
      </c>
      <c r="B97" s="97" t="n"/>
      <c r="C97" s="98" t="inlineStr">
        <is>
          <t>golan</t>
        </is>
      </c>
      <c r="D97" s="98" t="n"/>
      <c r="E97" s="97" t="n"/>
      <c r="F97" s="98" t="inlineStr">
        <is>
          <t>ariel shamir</t>
        </is>
      </c>
      <c r="G97" s="32" t="n"/>
      <c r="H97" s="32" t="n"/>
      <c r="I97" s="23" t="inlineStr">
        <is>
          <t>seen together</t>
        </is>
      </c>
      <c r="J97" s="95" t="inlineStr">
        <is>
          <t>dark fur, light brows</t>
        </is>
      </c>
      <c r="K97" s="32" t="n">
        <v>2.2017</v>
      </c>
      <c r="L97" s="32" t="n"/>
      <c r="M97" s="32" t="n"/>
      <c r="N97" s="32" t="n"/>
      <c r="O97" s="32" t="n"/>
      <c r="P97" s="32" t="n"/>
      <c r="Q97" s="32" t="n"/>
      <c r="R97" s="32" t="n"/>
      <c r="S97" s="32" t="n"/>
      <c r="T97" s="32" t="n"/>
      <c r="U97" s="32" t="n"/>
    </row>
    <row r="98" ht="14.25" customHeight="1" s="114">
      <c r="A98" s="97" t="inlineStr">
        <is>
          <t>In93</t>
        </is>
      </c>
      <c r="B98" s="97" t="n"/>
      <c r="C98" s="98" t="inlineStr">
        <is>
          <t>golan</t>
        </is>
      </c>
      <c r="D98" s="98" t="n"/>
      <c r="E98" s="97" t="n"/>
      <c r="F98" s="98" t="inlineStr">
        <is>
          <t>ariel shamir</t>
        </is>
      </c>
      <c r="G98" s="32" t="n"/>
      <c r="H98" s="32" t="n"/>
      <c r="I98" s="14" t="inlineStr">
        <is>
          <t>seen together</t>
        </is>
      </c>
      <c r="J98" s="32" t="inlineStr">
        <is>
          <t>dark fur, light face</t>
        </is>
      </c>
      <c r="K98" s="32" t="n">
        <v>2.2017</v>
      </c>
      <c r="L98" s="32" t="n"/>
      <c r="M98" s="32" t="n"/>
      <c r="N98" s="32" t="n"/>
      <c r="O98" s="32" t="n"/>
      <c r="P98" s="32" t="n"/>
      <c r="Q98" s="32" t="n"/>
      <c r="R98" s="32" t="n"/>
      <c r="S98" s="32" t="n"/>
      <c r="T98" s="32" t="n"/>
      <c r="U98" s="32" t="n"/>
    </row>
    <row r="99" ht="14.25" customHeight="1" s="114">
      <c r="A99" s="97" t="inlineStr">
        <is>
          <t>In94</t>
        </is>
      </c>
      <c r="B99" s="97" t="n"/>
      <c r="C99" s="98" t="inlineStr">
        <is>
          <t>golan</t>
        </is>
      </c>
      <c r="D99" s="98" t="n"/>
      <c r="E99" s="97" t="n"/>
      <c r="F99" s="98" t="inlineStr">
        <is>
          <t>ariel shamir</t>
        </is>
      </c>
      <c r="G99" s="32" t="n"/>
      <c r="H99" s="32" t="n"/>
      <c r="I99" s="32" t="n"/>
      <c r="J99" s="32" t="inlineStr">
        <is>
          <t>white area on the neck, husky-like</t>
        </is>
      </c>
      <c r="K99" s="32" t="n">
        <v>1.2017</v>
      </c>
      <c r="L99" s="32" t="n"/>
      <c r="M99" s="32" t="n"/>
      <c r="N99" s="32" t="n"/>
      <c r="O99" s="32" t="n"/>
      <c r="P99" s="32" t="n"/>
      <c r="Q99" s="32" t="n"/>
      <c r="R99" s="32" t="n"/>
      <c r="S99" s="32" t="n"/>
      <c r="T99" s="32" t="n"/>
      <c r="U99" s="32" t="n"/>
    </row>
    <row r="100" ht="14.25" customHeight="1" s="114">
      <c r="A100" s="97" t="inlineStr">
        <is>
          <t>In95</t>
        </is>
      </c>
      <c r="B100" s="97" t="n"/>
      <c r="C100" s="98" t="inlineStr">
        <is>
          <t>golan</t>
        </is>
      </c>
      <c r="D100" s="98" t="n"/>
      <c r="E100" s="97" t="n"/>
      <c r="F100" s="98" t="inlineStr">
        <is>
          <t>omer weiner</t>
        </is>
      </c>
      <c r="G100" s="32" t="n"/>
      <c r="H100" s="32" t="n"/>
      <c r="I100" s="32" t="n"/>
      <c r="J100" s="32" t="inlineStr">
        <is>
          <t xml:space="preserve">dark orange fur </t>
        </is>
      </c>
      <c r="K100" s="32" t="n">
        <v>12.2011</v>
      </c>
      <c r="L100" s="32" t="n"/>
      <c r="M100" s="32" t="n"/>
      <c r="N100" s="32" t="n"/>
      <c r="O100" s="32" t="n"/>
      <c r="P100" s="32" t="n"/>
      <c r="Q100" s="32" t="n"/>
      <c r="R100" s="32" t="n"/>
      <c r="S100" s="32" t="n"/>
      <c r="T100" s="32" t="n"/>
      <c r="U100" s="32" t="n"/>
    </row>
    <row r="101" ht="14.25" customHeight="1" s="114">
      <c r="A101" s="97" t="inlineStr">
        <is>
          <t>In96</t>
        </is>
      </c>
      <c r="B101" s="97" t="n"/>
      <c r="C101" s="98" t="inlineStr">
        <is>
          <t>golan</t>
        </is>
      </c>
      <c r="D101" s="98" t="n"/>
      <c r="E101" s="97" t="n"/>
      <c r="F101" s="98" t="inlineStr">
        <is>
          <t>omer weiner</t>
        </is>
      </c>
      <c r="G101" s="32" t="n"/>
      <c r="H101" s="32" t="n"/>
      <c r="I101" s="32" t="n"/>
      <c r="J101" s="32" t="inlineStr">
        <is>
          <t>grey fur, light fur around nose</t>
        </is>
      </c>
      <c r="K101" s="32" t="n">
        <v>8.2019</v>
      </c>
      <c r="L101" s="32" t="n"/>
      <c r="M101" s="32" t="n"/>
      <c r="N101" s="32" t="n"/>
      <c r="O101" s="32" t="n"/>
      <c r="P101" s="32" t="n"/>
      <c r="Q101" s="32" t="n"/>
      <c r="R101" s="32" t="n"/>
      <c r="S101" s="32" t="n"/>
      <c r="T101" s="32" t="n"/>
      <c r="U101" s="32" t="n"/>
    </row>
    <row r="102" ht="15" customHeight="1" s="114">
      <c r="A102" s="98" t="inlineStr">
        <is>
          <t>In97</t>
        </is>
      </c>
      <c r="B102" s="32" t="n"/>
      <c r="C102" s="98" t="inlineStr">
        <is>
          <t>golan</t>
        </is>
      </c>
      <c r="D102" s="32" t="n"/>
      <c r="E102" s="32" t="n"/>
      <c r="F102" s="32" t="inlineStr">
        <is>
          <t>elimelech</t>
        </is>
      </c>
      <c r="G102" s="32" t="n"/>
      <c r="H102" s="32" t="n"/>
      <c r="I102" s="32" t="n"/>
      <c r="J102" s="32" t="n"/>
      <c r="K102" s="32" t="n">
        <v>7.2025</v>
      </c>
      <c r="L102" s="32" t="inlineStr">
        <is>
          <t>A1a2wyiA2iB3NB4NB5NC6iC7ND8a4D9N</t>
        </is>
      </c>
      <c r="M102" s="32" t="inlineStr">
        <is>
          <t>a2wyi</t>
        </is>
      </c>
      <c r="N102" s="32" t="inlineStr">
        <is>
          <t>i</t>
        </is>
      </c>
      <c r="O102" s="32" t="inlineStr">
        <is>
          <t>N</t>
        </is>
      </c>
      <c r="P102" s="32" t="inlineStr">
        <is>
          <t>N</t>
        </is>
      </c>
      <c r="Q102" s="32" t="inlineStr">
        <is>
          <t>N</t>
        </is>
      </c>
      <c r="R102" s="32" t="inlineStr">
        <is>
          <t>i</t>
        </is>
      </c>
      <c r="S102" s="32" t="inlineStr">
        <is>
          <t>N</t>
        </is>
      </c>
      <c r="T102" s="32" t="inlineStr">
        <is>
          <t>a4</t>
        </is>
      </c>
      <c r="U102" s="32" t="inlineStr">
        <is>
          <t>N</t>
        </is>
      </c>
    </row>
    <row r="103" ht="15" customHeight="1" s="114">
      <c r="A103" s="98" t="inlineStr">
        <is>
          <t>In98</t>
        </is>
      </c>
      <c r="B103" s="32" t="n"/>
      <c r="C103" s="32" t="n"/>
      <c r="D103" s="32" t="n"/>
      <c r="E103" s="32" t="n"/>
      <c r="F103" s="32" t="n"/>
      <c r="G103" s="32" t="n"/>
      <c r="H103" s="32" t="n"/>
      <c r="I103" s="32" t="n"/>
      <c r="J103" s="32" t="n"/>
      <c r="K103" s="32" t="n"/>
      <c r="L103" s="32" t="inlineStr">
        <is>
          <t>A1c1ziA2a5iB3a2bB4c2bB5c2bC6c1gC7cD8a7D9a2</t>
        </is>
      </c>
      <c r="M103" s="32" t="inlineStr">
        <is>
          <t>c1zi</t>
        </is>
      </c>
      <c r="N103" s="32" t="inlineStr">
        <is>
          <t>a5i</t>
        </is>
      </c>
      <c r="O103" s="32" t="inlineStr">
        <is>
          <t>a2b</t>
        </is>
      </c>
      <c r="P103" s="32" t="inlineStr">
        <is>
          <t>c2b</t>
        </is>
      </c>
      <c r="Q103" s="32" t="inlineStr">
        <is>
          <t>c2b</t>
        </is>
      </c>
      <c r="R103" s="32" t="inlineStr">
        <is>
          <t>c1g</t>
        </is>
      </c>
      <c r="S103" s="32" t="inlineStr">
        <is>
          <t>c</t>
        </is>
      </c>
      <c r="T103" s="32" t="inlineStr">
        <is>
          <t>a7</t>
        </is>
      </c>
      <c r="U103" s="32" t="inlineStr">
        <is>
          <t>a2</t>
        </is>
      </c>
    </row>
    <row r="104" ht="15.75" customHeight="1" s="114">
      <c r="A104" s="98" t="n"/>
      <c r="B104" s="32" t="n"/>
      <c r="C104" s="32" t="n"/>
      <c r="D104" s="32" t="n"/>
      <c r="E104" s="32" t="n"/>
      <c r="F104" s="32" t="n"/>
      <c r="G104" s="32" t="n"/>
      <c r="H104" s="32" t="n"/>
      <c r="I104" s="32" t="n"/>
      <c r="J104" s="32" t="n"/>
      <c r="K104" s="32" t="n"/>
      <c r="L104" s="32" t="n"/>
      <c r="M104" s="32" t="n"/>
      <c r="N104" s="32" t="n"/>
      <c r="O104" s="32" t="n"/>
      <c r="P104" s="32" t="n"/>
      <c r="Q104" s="32" t="n"/>
      <c r="R104" s="32" t="n"/>
      <c r="S104" s="32" t="n"/>
      <c r="T104" s="32" t="n"/>
      <c r="U104" s="32" t="n"/>
    </row>
    <row r="105" ht="14.25" customHeight="1" s="114">
      <c r="A105" s="97" t="inlineStr">
        <is>
          <t>data</t>
        </is>
      </c>
      <c r="B105" s="97" t="n"/>
      <c r="C105" s="32" t="n"/>
      <c r="D105" s="98" t="n"/>
      <c r="E105" s="97" t="n"/>
      <c r="F105" s="98" t="n"/>
      <c r="G105" s="32" t="n"/>
      <c r="H105" s="32" t="n"/>
      <c r="I105" s="32" t="n"/>
      <c r="J105" s="32" t="n"/>
      <c r="K105" s="32" t="n"/>
      <c r="L105" s="32" t="n"/>
      <c r="M105" s="32" t="n"/>
      <c r="N105" s="32" t="n"/>
      <c r="O105" s="32" t="n"/>
      <c r="P105" s="32" t="n"/>
      <c r="Q105" s="32" t="n"/>
      <c r="R105" s="32" t="n"/>
      <c r="S105" s="32" t="n"/>
      <c r="T105" s="32" t="n"/>
      <c r="U105" s="32" t="n"/>
    </row>
    <row r="106" ht="14.25" customHeight="1" s="114">
      <c r="A106" s="97" t="n"/>
      <c r="B106" s="97" t="n"/>
      <c r="C106" s="98" t="n"/>
      <c r="D106" s="32" t="n"/>
      <c r="E106" s="97" t="n"/>
      <c r="F106" s="98" t="n"/>
      <c r="G106" s="32" t="n"/>
      <c r="H106" s="32" t="n"/>
      <c r="I106" s="32" t="n"/>
      <c r="J106" s="32" t="n"/>
      <c r="K106" s="32" t="n"/>
      <c r="L106" s="32" t="n"/>
      <c r="M106" s="32" t="n"/>
      <c r="N106" s="32" t="n"/>
      <c r="O106" s="32" t="n"/>
      <c r="P106" s="32" t="n"/>
      <c r="Q106" s="32" t="n"/>
      <c r="R106" s="32" t="n"/>
      <c r="S106" s="32" t="n"/>
      <c r="T106" s="32" t="n"/>
      <c r="U106" s="32" t="n"/>
    </row>
    <row r="107" ht="14.25" customHeight="1" s="114">
      <c r="A107" s="97" t="n"/>
      <c r="B107" s="97">
        <f>IFERROR(__xludf.DUMMYFUNCTION("IFERROR(LET(
  rng, FILTER(C2:C1001, LEN(C2:C1001)),
  tok, TOCOL(MAP(rng, LAMBDA(x, TRIM(SPLIT(x, "","")))), 1),
  norm, LOWER(REGEXREPLACE(REGEXREPLACE(tok, ""\s*-\s*"", "" ""), ""\s+"", "" "")),
  norm2, FILTER(norm, norm&lt;&gt;""""),
  total, COUNTA(norm2)"&amp;",
  agg, QUERY(norm2, ""select Col1, count(Col1) group by Col1 label count(Col1) ''"", 0),
  maxc, MAX(INDEX(agg,,2)),
  top, FILTER(agg, INDEX(agg,,2)=maxc),
  IF(maxc&lt;=1, """", HSTACK(INDEX(top,,1), INDEX(top,,2), INDEX(top,,2)/total))
),"""")
"),"")</f>
        <v/>
      </c>
      <c r="C107" s="32">
        <f>IFERROR(__xludf.DUMMYFUNCTION("IFERROR(
  LET(
    lastRow, ROW()-1,
    raw, C2:INDEX(C:C, lastRow),
    rng, FILTER(TO_TEXT(raw), LEN(TRIM(TO_TEXT(raw)))&gt;0),
    totalRows, ROWS(rng),
    norm, LAMBDA(x, REGEXREPLACE(TRIM(x), ""\s+"", "" "")),
    perRowUnique,
      DROP(
        "&amp;"REDUCE(
          """",
          rng,
          LAMBDA(acc, r,
            LET(
              items, norm(SPLIT(r, "","")),
              uniqRow, UNIQUE(FILTER(items, items&lt;&gt;"""")),
              VSTACK(acc, uniqRow)
            )
          )
        ),"&amp;"
        1
      ),
    countsTbl, QUERY(perRowUnique, ""select Col1, count(Col1) group by Col1 label count(Col1) ''"", 0),
    maxC, MAX(INDEX(countsTbl,,2)),
    topItems, TEXTJOIN("", "", TRUE, FILTER(INDEX(countsTbl,,1), INDEX(countsTbl,,2)=maxC)),
 "&amp;"   pct, ROUND(100*maxC/totalRows, 2),
    topItems &amp; "" ("" &amp; pct &amp; ""%)""
  ),
  """"
)"),"")</f>
        <v/>
      </c>
      <c r="D107" s="32" t="n"/>
      <c r="E107" s="97" t="n"/>
      <c r="F107" s="98" t="n"/>
      <c r="G107" s="32" t="n"/>
      <c r="H107" s="32" t="n"/>
      <c r="I107" s="32" t="n"/>
      <c r="J107" s="32" t="n"/>
      <c r="K107" s="32" t="n"/>
      <c r="L107" s="32" t="n"/>
      <c r="M107" s="32">
        <f t="array" ref="M107">_xludf.LET(
  _xlpm.lastRow, ROW()-1,
  _xlpm.col, M2:INDEX(M:M2:M100M, _xlpm.lastRow),
  _xlpm.clean, _xlws.FILTER(_xlpm.col, (_xlpm.col&lt;&gt;"")*(UPPER(TRIM(""&amp;_xlpm.col))&lt;&gt;"N")*(UPPER(TRIM(""&amp;_xlpm.col))&lt;&gt;"P")),
  _xlpm.n, COUNTA(_xlpm.clean),
  IF(_xlpm.n=0, "",
    _xludf.LET(
      _xlpm.u, _xludf.UNIQUE(_xlpm.clean),
      _xlpm.k, COUNTA(_xlpm.u),
      _xlpm.freq, COUNTIF(_xlpm.clean, _xlpm.u),
      _xlpm.p, _xlpm.freq/_xlpm.n,
      _xlpm.H, -SUM(_xlpm.p*LOG(_xlpm.p,2)),
      IF(_xlpm.k&lt;=1, 0, _xlpm.H/LOG(_xlpm.k,2))
    )
  )
)</f>
        <v/>
      </c>
      <c r="N107" s="32" t="n"/>
      <c r="O107" s="32" t="n"/>
      <c r="P107" s="32" t="n"/>
      <c r="Q107" s="32" t="n"/>
      <c r="R107" s="32" t="n"/>
      <c r="S107" s="32" t="n"/>
      <c r="T107" s="32" t="n"/>
      <c r="U107" s="32" t="n"/>
    </row>
    <row r="108" ht="14.25" customHeight="1" s="114">
      <c r="A108" s="97" t="n"/>
      <c r="B108" s="97" t="n"/>
      <c r="D108" s="98" t="n"/>
      <c r="E108" s="97" t="n"/>
      <c r="F108" s="98" t="n"/>
      <c r="K108" s="32" t="n"/>
      <c r="L108" s="32" t="n"/>
      <c r="M108" s="32" t="n"/>
      <c r="N108" s="32" t="n"/>
      <c r="O108" s="32" t="n"/>
      <c r="P108" s="32" t="n"/>
      <c r="Q108" s="32" t="n"/>
      <c r="R108" s="32" t="n"/>
      <c r="S108" s="32" t="n"/>
      <c r="T108" s="32" t="n"/>
      <c r="U108" s="32" t="n"/>
    </row>
    <row r="109" ht="14.25" customHeight="1" s="114">
      <c r="A109" s="97" t="n"/>
      <c r="B109" s="97" t="n"/>
      <c r="C109" s="98" t="n"/>
      <c r="D109" s="98" t="n"/>
      <c r="E109" s="97" t="n"/>
      <c r="F109" s="98" t="n"/>
      <c r="K109" s="32" t="n"/>
      <c r="L109" s="32" t="n"/>
      <c r="M109" s="32" t="n"/>
      <c r="N109" s="32" t="n"/>
      <c r="O109" s="32" t="n"/>
      <c r="P109" s="32" t="n"/>
      <c r="Q109" s="32" t="n"/>
      <c r="R109" s="32" t="n"/>
      <c r="S109" s="32" t="n"/>
      <c r="T109" s="32" t="n"/>
      <c r="U109" s="32" t="n"/>
    </row>
    <row r="110" ht="14.25" customHeight="1" s="114">
      <c r="A110" s="97" t="n"/>
      <c r="B110" s="97" t="n"/>
      <c r="C110" s="98" t="n"/>
      <c r="D110" s="98" t="n"/>
      <c r="E110" s="97" t="n"/>
      <c r="F110" s="98" t="n"/>
      <c r="K110" s="32" t="n"/>
      <c r="L110" s="32" t="n"/>
      <c r="M110" s="32" t="n"/>
      <c r="N110" s="32" t="n"/>
      <c r="O110" s="32" t="n"/>
      <c r="P110" s="32" t="n"/>
      <c r="Q110" s="32" t="n"/>
      <c r="R110" s="32" t="n"/>
      <c r="S110" s="32" t="n"/>
      <c r="T110" s="32" t="n"/>
      <c r="U110" s="32" t="n"/>
    </row>
    <row r="111" ht="14.25" customHeight="1" s="114">
      <c r="A111" s="97" t="n"/>
      <c r="B111" s="97" t="n"/>
      <c r="C111" s="98" t="n"/>
      <c r="D111" s="98" t="n"/>
      <c r="E111" s="97" t="n"/>
      <c r="F111" s="98" t="n"/>
      <c r="K111" s="32" t="n"/>
      <c r="L111" s="32" t="n"/>
      <c r="M111" s="32" t="n"/>
      <c r="N111" s="32" t="n"/>
      <c r="O111" s="32" t="n"/>
      <c r="P111" s="32" t="n"/>
      <c r="Q111" s="32" t="n"/>
      <c r="R111" s="32" t="n"/>
      <c r="S111" s="32" t="n"/>
      <c r="T111" s="32" t="n"/>
      <c r="U111" s="32" t="n"/>
    </row>
    <row r="112" ht="14.25" customHeight="1" s="114">
      <c r="A112" s="97" t="n"/>
      <c r="B112" s="97" t="n"/>
      <c r="C112" s="98" t="n"/>
      <c r="D112" s="98" t="n"/>
      <c r="E112" s="97" t="n"/>
      <c r="F112" s="98" t="n"/>
      <c r="K112" s="32" t="n"/>
      <c r="L112" s="32" t="n"/>
      <c r="M112" s="32" t="n"/>
      <c r="N112" s="32" t="n"/>
      <c r="O112" s="32" t="n"/>
      <c r="P112" s="32" t="n"/>
      <c r="Q112" s="32" t="n"/>
      <c r="R112" s="32" t="n"/>
      <c r="S112" s="32" t="n"/>
      <c r="T112" s="32" t="n"/>
      <c r="U112" s="32" t="n"/>
    </row>
    <row r="113" ht="14.25" customHeight="1" s="114">
      <c r="A113" s="97" t="n"/>
      <c r="B113" s="97" t="n"/>
      <c r="C113" s="98" t="n"/>
      <c r="D113" s="98" t="n"/>
      <c r="E113" s="97" t="n"/>
      <c r="F113" s="98" t="n"/>
      <c r="K113" s="32" t="n"/>
      <c r="L113" s="32" t="n"/>
      <c r="M113" s="32" t="n"/>
      <c r="N113" s="32" t="n"/>
      <c r="O113" s="32" t="n"/>
      <c r="P113" s="32" t="n"/>
      <c r="Q113" s="32" t="n"/>
      <c r="R113" s="32" t="n"/>
      <c r="S113" s="32" t="n"/>
      <c r="T113" s="32" t="n"/>
      <c r="U113" s="32" t="n"/>
    </row>
    <row r="114" ht="14.25" customHeight="1" s="114">
      <c r="A114" s="97" t="n"/>
      <c r="B114" s="97" t="n"/>
      <c r="C114" s="98" t="n"/>
      <c r="D114" s="98" t="n"/>
      <c r="E114" s="97" t="n"/>
      <c r="F114" s="98" t="n"/>
      <c r="K114" s="32" t="n"/>
      <c r="L114" s="32" t="n"/>
      <c r="M114" s="32" t="n"/>
      <c r="N114" s="32" t="n"/>
      <c r="O114" s="32" t="n"/>
      <c r="P114" s="32" t="n"/>
      <c r="Q114" s="32" t="n"/>
      <c r="R114" s="32" t="n"/>
      <c r="S114" s="32" t="n"/>
      <c r="T114" s="32" t="n"/>
      <c r="U114" s="32" t="n"/>
    </row>
    <row r="115" ht="14.25" customHeight="1" s="114">
      <c r="A115" s="97" t="n"/>
      <c r="B115" s="97" t="n"/>
      <c r="C115" s="98" t="n"/>
      <c r="D115" s="98" t="n"/>
      <c r="E115" s="97" t="n"/>
      <c r="F115" s="98" t="n"/>
      <c r="K115" s="32" t="n"/>
      <c r="L115" s="32" t="n"/>
      <c r="M115" s="32" t="n"/>
      <c r="N115" s="32" t="n"/>
      <c r="O115" s="32" t="n"/>
      <c r="P115" s="32" t="n"/>
      <c r="Q115" s="32" t="n"/>
      <c r="R115" s="32" t="n"/>
      <c r="S115" s="32" t="n"/>
      <c r="T115" s="32" t="n"/>
      <c r="U115" s="32" t="n"/>
    </row>
    <row r="116" ht="14.25" customHeight="1" s="114">
      <c r="A116" s="97" t="n"/>
      <c r="B116" s="97" t="n"/>
      <c r="C116" s="98" t="n"/>
      <c r="D116" s="98" t="n"/>
      <c r="E116" s="97" t="n"/>
      <c r="F116" s="98" t="n"/>
      <c r="K116" s="32" t="n"/>
      <c r="L116" s="32" t="n"/>
      <c r="M116" s="32" t="n"/>
      <c r="N116" s="32" t="n"/>
      <c r="O116" s="32" t="n"/>
      <c r="P116" s="32" t="n"/>
      <c r="Q116" s="32" t="n"/>
      <c r="R116" s="32" t="n"/>
      <c r="S116" s="32" t="n"/>
      <c r="T116" s="32" t="n"/>
      <c r="U116" s="32" t="n"/>
    </row>
    <row r="117" ht="14.25" customHeight="1" s="114">
      <c r="A117" s="97" t="n"/>
      <c r="B117" s="97" t="n"/>
      <c r="C117" s="98" t="n"/>
      <c r="D117" s="98" t="n"/>
      <c r="E117" s="97" t="n"/>
      <c r="F117" s="98" t="n"/>
      <c r="K117" s="32" t="n"/>
      <c r="L117" s="32" t="n"/>
      <c r="M117" s="32" t="n"/>
      <c r="N117" s="32" t="n"/>
      <c r="O117" s="32" t="n"/>
      <c r="P117" s="32" t="n"/>
      <c r="Q117" s="32" t="n"/>
      <c r="R117" s="32" t="n"/>
      <c r="S117" s="32" t="n"/>
      <c r="T117" s="32" t="n"/>
      <c r="U117" s="32" t="n"/>
    </row>
    <row r="118" ht="14.25" customHeight="1" s="114">
      <c r="A118" s="97" t="n"/>
      <c r="B118" s="97" t="n"/>
      <c r="C118" s="98" t="n"/>
      <c r="D118" s="98" t="n"/>
      <c r="E118" s="97" t="n"/>
      <c r="F118" s="98" t="n"/>
      <c r="K118" s="32" t="n"/>
      <c r="L118" s="32" t="n"/>
      <c r="M118" s="32" t="n"/>
      <c r="N118" s="32" t="n"/>
      <c r="O118" s="32" t="n"/>
      <c r="P118" s="32" t="n"/>
      <c r="Q118" s="32" t="n"/>
      <c r="R118" s="32" t="n"/>
      <c r="S118" s="32" t="n"/>
      <c r="T118" s="32" t="n"/>
      <c r="U118" s="32" t="n"/>
    </row>
    <row r="119" ht="14.25" customHeight="1" s="114">
      <c r="A119" s="97" t="n"/>
      <c r="B119" s="97" t="n"/>
      <c r="C119" s="98" t="n"/>
      <c r="D119" s="98" t="n"/>
      <c r="E119" s="97" t="n"/>
      <c r="F119" s="98" t="n"/>
      <c r="K119" s="32" t="n"/>
      <c r="L119" s="32" t="n"/>
      <c r="M119" s="32" t="n"/>
      <c r="N119" s="32" t="n"/>
      <c r="O119" s="32" t="n"/>
      <c r="P119" s="32" t="n"/>
      <c r="Q119" s="32" t="n"/>
      <c r="R119" s="32" t="n"/>
      <c r="S119" s="32" t="n"/>
      <c r="T119" s="32" t="n"/>
      <c r="U119" s="32" t="n"/>
    </row>
    <row r="120" ht="14.25" customHeight="1" s="114">
      <c r="A120" s="97" t="n"/>
      <c r="B120" s="97" t="n"/>
      <c r="C120" s="98" t="n"/>
      <c r="D120" s="98" t="n"/>
      <c r="E120" s="97" t="n"/>
      <c r="F120" s="98" t="n"/>
      <c r="K120" s="32" t="n"/>
      <c r="L120" s="32" t="n"/>
      <c r="M120" s="32" t="n"/>
      <c r="N120" s="32" t="n"/>
      <c r="O120" s="32" t="n"/>
      <c r="P120" s="32" t="n"/>
      <c r="Q120" s="32" t="n"/>
      <c r="R120" s="32" t="n"/>
      <c r="S120" s="32" t="n"/>
      <c r="T120" s="32" t="n"/>
      <c r="U120" s="32" t="n"/>
    </row>
    <row r="121" ht="14.25" customHeight="1" s="114">
      <c r="A121" s="97" t="n"/>
      <c r="B121" s="97" t="n"/>
      <c r="C121" s="98" t="n"/>
      <c r="D121" s="98" t="n"/>
      <c r="E121" s="97" t="n"/>
      <c r="F121" s="98" t="n"/>
      <c r="K121" s="32" t="n"/>
      <c r="L121" s="32" t="n"/>
      <c r="M121" s="32" t="n"/>
      <c r="N121" s="32" t="n"/>
      <c r="O121" s="32" t="n"/>
      <c r="P121" s="32" t="n"/>
      <c r="Q121" s="32" t="n"/>
      <c r="R121" s="32" t="n"/>
      <c r="S121" s="32" t="n"/>
      <c r="T121" s="32" t="n"/>
      <c r="U121" s="32" t="n"/>
    </row>
    <row r="122" ht="14.25" customHeight="1" s="114">
      <c r="A122" s="97" t="n"/>
      <c r="B122" s="97" t="n"/>
      <c r="C122" s="98" t="n"/>
      <c r="D122" s="98" t="n"/>
      <c r="E122" s="97" t="n"/>
      <c r="F122" s="98" t="n"/>
      <c r="K122" s="32" t="n"/>
      <c r="L122" s="32" t="n"/>
      <c r="M122" s="32" t="n"/>
      <c r="N122" s="32" t="n"/>
      <c r="O122" s="32" t="n"/>
      <c r="P122" s="32" t="n"/>
      <c r="Q122" s="32" t="n"/>
      <c r="R122" s="32" t="n"/>
      <c r="S122" s="32" t="n"/>
      <c r="T122" s="32" t="n"/>
      <c r="U122" s="32" t="n"/>
    </row>
    <row r="123" ht="14.25" customHeight="1" s="114">
      <c r="A123" s="97" t="n"/>
      <c r="B123" s="97" t="n"/>
      <c r="C123" s="98" t="n"/>
      <c r="D123" s="98" t="n"/>
      <c r="E123" s="97" t="n"/>
      <c r="F123" s="98" t="n"/>
      <c r="K123" s="32" t="n"/>
      <c r="L123" s="32" t="n"/>
      <c r="M123" s="32" t="n"/>
      <c r="N123" s="32" t="n"/>
      <c r="O123" s="32" t="n"/>
      <c r="P123" s="32" t="n"/>
      <c r="Q123" s="32" t="n"/>
      <c r="R123" s="32" t="n"/>
      <c r="S123" s="32" t="n"/>
      <c r="T123" s="32" t="n"/>
      <c r="U123" s="32" t="n"/>
    </row>
    <row r="124" ht="14.25" customHeight="1" s="114">
      <c r="A124" s="97" t="n"/>
      <c r="B124" s="97" t="n"/>
      <c r="C124" s="98" t="n"/>
      <c r="D124" s="98" t="n"/>
      <c r="E124" s="97" t="n"/>
      <c r="F124" s="98" t="n"/>
      <c r="K124" s="32" t="n"/>
      <c r="L124" s="32" t="n"/>
      <c r="M124" s="32" t="n"/>
      <c r="N124" s="32" t="n"/>
      <c r="O124" s="32" t="n"/>
      <c r="P124" s="32" t="n"/>
      <c r="Q124" s="32" t="n"/>
      <c r="R124" s="32" t="n"/>
      <c r="S124" s="32" t="n"/>
      <c r="T124" s="32" t="n"/>
      <c r="U124" s="32" t="n"/>
    </row>
    <row r="125" ht="14.25" customHeight="1" s="114">
      <c r="A125" s="97" t="n"/>
      <c r="B125" s="97" t="n"/>
      <c r="C125" s="98" t="n"/>
      <c r="D125" s="98" t="n"/>
      <c r="E125" s="97" t="n"/>
      <c r="F125" s="98" t="n"/>
      <c r="K125" s="32" t="n"/>
      <c r="L125" s="32" t="n"/>
      <c r="M125" s="32" t="n"/>
      <c r="N125" s="32" t="n"/>
      <c r="O125" s="32" t="n"/>
      <c r="P125" s="32" t="n"/>
      <c r="Q125" s="32" t="n"/>
      <c r="R125" s="32" t="n"/>
      <c r="S125" s="32" t="n"/>
      <c r="T125" s="32" t="n"/>
      <c r="U125" s="32" t="n"/>
    </row>
    <row r="126" ht="14.25" customHeight="1" s="114">
      <c r="A126" s="97" t="n"/>
      <c r="B126" s="97" t="n"/>
      <c r="C126" s="98" t="n"/>
      <c r="D126" s="98" t="n"/>
      <c r="E126" s="97" t="n"/>
      <c r="F126" s="98" t="n"/>
      <c r="K126" s="32" t="n"/>
      <c r="L126" s="32" t="n"/>
      <c r="M126" s="32" t="n"/>
      <c r="N126" s="32" t="n"/>
      <c r="O126" s="32" t="n"/>
      <c r="P126" s="32" t="n"/>
      <c r="Q126" s="32" t="n"/>
      <c r="R126" s="32" t="n"/>
      <c r="S126" s="32" t="n"/>
      <c r="T126" s="32" t="n"/>
      <c r="U126" s="32" t="n"/>
    </row>
    <row r="127" ht="14.25" customHeight="1" s="114">
      <c r="A127" s="97" t="n"/>
      <c r="B127" s="97" t="n"/>
      <c r="C127" s="98" t="n"/>
      <c r="D127" s="98" t="n"/>
      <c r="E127" s="97" t="n"/>
      <c r="F127" s="98" t="n"/>
      <c r="K127" s="32" t="n"/>
      <c r="L127" s="32" t="n"/>
      <c r="M127" s="32" t="n"/>
      <c r="N127" s="32" t="n"/>
      <c r="O127" s="32" t="n"/>
      <c r="P127" s="32" t="n"/>
      <c r="Q127" s="32" t="n"/>
      <c r="R127" s="32" t="n"/>
      <c r="S127" s="32" t="n"/>
      <c r="T127" s="32" t="n"/>
      <c r="U127" s="32" t="n"/>
    </row>
    <row r="128" ht="14.25" customHeight="1" s="114">
      <c r="A128" s="97" t="n"/>
      <c r="B128" s="97" t="n"/>
      <c r="C128" s="98" t="n"/>
      <c r="D128" s="98" t="n"/>
      <c r="E128" s="97" t="n"/>
      <c r="F128" s="98" t="n"/>
      <c r="K128" s="32" t="n"/>
      <c r="L128" s="32" t="n"/>
      <c r="M128" s="32" t="n"/>
      <c r="N128" s="32" t="n"/>
      <c r="O128" s="32" t="n"/>
      <c r="P128" s="32" t="n"/>
      <c r="Q128" s="32" t="n"/>
      <c r="R128" s="32" t="n"/>
      <c r="S128" s="32" t="n"/>
      <c r="T128" s="32" t="n"/>
      <c r="U128" s="32" t="n"/>
    </row>
    <row r="129" ht="14.25" customHeight="1" s="114">
      <c r="A129" s="97" t="n"/>
      <c r="B129" s="97" t="n"/>
      <c r="C129" s="98" t="n"/>
      <c r="D129" s="98" t="n"/>
      <c r="E129" s="97" t="n"/>
      <c r="F129" s="98" t="n"/>
      <c r="K129" s="32" t="n"/>
      <c r="L129" s="32" t="n"/>
      <c r="M129" s="32" t="n"/>
      <c r="N129" s="32" t="n"/>
      <c r="O129" s="32" t="n"/>
      <c r="P129" s="32" t="n"/>
      <c r="Q129" s="32" t="n"/>
      <c r="R129" s="32" t="n"/>
      <c r="S129" s="32" t="n"/>
      <c r="T129" s="32" t="n"/>
      <c r="U129" s="32" t="n"/>
    </row>
    <row r="130" ht="14.25" customHeight="1" s="114">
      <c r="A130" s="97" t="n"/>
      <c r="B130" s="97" t="n"/>
      <c r="C130" s="98" t="n"/>
      <c r="D130" s="98" t="n"/>
      <c r="E130" s="97" t="n"/>
      <c r="F130" s="98" t="n"/>
      <c r="K130" s="32" t="n"/>
      <c r="L130" s="32" t="n"/>
      <c r="M130" s="32" t="n"/>
      <c r="N130" s="32" t="n"/>
      <c r="O130" s="32" t="n"/>
      <c r="P130" s="32" t="n"/>
      <c r="Q130" s="32" t="n"/>
      <c r="R130" s="32" t="n"/>
      <c r="S130" s="32" t="n"/>
      <c r="T130" s="32" t="n"/>
      <c r="U130" s="32" t="n"/>
    </row>
    <row r="131" ht="14.25" customHeight="1" s="114">
      <c r="A131" s="97" t="n"/>
      <c r="B131" s="97" t="n"/>
      <c r="C131" s="98" t="n"/>
      <c r="D131" s="98" t="n"/>
      <c r="E131" s="97" t="n"/>
      <c r="F131" s="98" t="n"/>
      <c r="K131" s="32" t="n"/>
      <c r="L131" s="32" t="n"/>
      <c r="M131" s="32" t="n"/>
      <c r="N131" s="32" t="n"/>
      <c r="O131" s="32" t="n"/>
      <c r="P131" s="32" t="n"/>
      <c r="Q131" s="32" t="n"/>
      <c r="R131" s="32" t="n"/>
      <c r="S131" s="32" t="n"/>
      <c r="T131" s="32" t="n"/>
      <c r="U131" s="32" t="n"/>
    </row>
    <row r="132" ht="14.25" customHeight="1" s="114">
      <c r="A132" s="97" t="n"/>
      <c r="B132" s="97" t="n"/>
      <c r="C132" s="98" t="n"/>
      <c r="D132" s="98" t="n"/>
      <c r="E132" s="97" t="n"/>
      <c r="F132" s="98" t="n"/>
      <c r="K132" s="32" t="n"/>
      <c r="L132" s="32" t="n"/>
      <c r="M132" s="32" t="n"/>
      <c r="N132" s="32" t="n"/>
      <c r="O132" s="32" t="n"/>
      <c r="P132" s="32" t="n"/>
      <c r="Q132" s="32" t="n"/>
      <c r="R132" s="32" t="n"/>
      <c r="S132" s="32" t="n"/>
      <c r="T132" s="32" t="n"/>
      <c r="U132" s="32" t="n"/>
    </row>
    <row r="133" ht="14.25" customHeight="1" s="114">
      <c r="A133" s="97" t="n"/>
      <c r="B133" s="97" t="n"/>
      <c r="C133" s="98" t="n"/>
      <c r="D133" s="98" t="n"/>
      <c r="E133" s="97" t="n"/>
      <c r="F133" s="98" t="n"/>
      <c r="K133" s="32" t="n"/>
      <c r="L133" s="32" t="n"/>
      <c r="M133" s="32" t="n"/>
      <c r="N133" s="32" t="n"/>
      <c r="O133" s="32" t="n"/>
      <c r="P133" s="32" t="n"/>
      <c r="Q133" s="32" t="n"/>
      <c r="R133" s="32" t="n"/>
      <c r="S133" s="32" t="n"/>
      <c r="T133" s="32" t="n"/>
      <c r="U133" s="32" t="n"/>
    </row>
    <row r="134" ht="14.25" customHeight="1" s="114">
      <c r="A134" s="97" t="n"/>
      <c r="B134" s="97" t="n"/>
      <c r="C134" s="98" t="n"/>
      <c r="D134" s="98" t="n"/>
      <c r="E134" s="97" t="n"/>
      <c r="F134" s="98" t="n"/>
      <c r="K134" s="32" t="n"/>
      <c r="L134" s="32" t="n"/>
      <c r="M134" s="32" t="n"/>
      <c r="N134" s="32" t="n"/>
      <c r="O134" s="32" t="n"/>
      <c r="P134" s="32" t="n"/>
      <c r="Q134" s="32" t="n"/>
      <c r="R134" s="32" t="n"/>
      <c r="S134" s="32" t="n"/>
      <c r="T134" s="32" t="n"/>
      <c r="U134" s="32" t="n"/>
    </row>
    <row r="135" ht="14.25" customHeight="1" s="114">
      <c r="A135" s="97" t="n"/>
      <c r="B135" s="97" t="n"/>
      <c r="C135" s="98" t="n"/>
      <c r="D135" s="98" t="n"/>
      <c r="E135" s="97" t="n"/>
      <c r="F135" s="98" t="n"/>
      <c r="K135" s="32" t="n"/>
      <c r="L135" s="32" t="n"/>
      <c r="M135" s="32" t="n"/>
      <c r="N135" s="32" t="n"/>
      <c r="O135" s="32" t="n"/>
      <c r="P135" s="32" t="n"/>
      <c r="Q135" s="32" t="n"/>
      <c r="R135" s="32" t="n"/>
      <c r="S135" s="32" t="n"/>
      <c r="T135" s="32" t="n"/>
      <c r="U135" s="32" t="n"/>
    </row>
    <row r="136" ht="14.25" customHeight="1" s="114">
      <c r="A136" s="97" t="n"/>
      <c r="B136" s="97" t="n"/>
      <c r="C136" s="98" t="n"/>
      <c r="D136" s="98" t="n"/>
      <c r="E136" s="97" t="n"/>
      <c r="F136" s="98" t="n"/>
      <c r="K136" s="32" t="n"/>
      <c r="L136" s="32" t="n"/>
      <c r="M136" s="32" t="n"/>
      <c r="N136" s="32" t="n"/>
      <c r="O136" s="32" t="n"/>
      <c r="P136" s="32" t="n"/>
      <c r="Q136" s="32" t="n"/>
      <c r="R136" s="32" t="n"/>
      <c r="S136" s="32" t="n"/>
      <c r="T136" s="32" t="n"/>
      <c r="U136" s="32" t="n"/>
    </row>
    <row r="137" ht="14.25" customHeight="1" s="114">
      <c r="A137" s="97" t="n"/>
      <c r="B137" s="97" t="n"/>
      <c r="C137" s="98" t="n"/>
      <c r="D137" s="98" t="n"/>
      <c r="E137" s="97" t="n"/>
      <c r="F137" s="98" t="n"/>
      <c r="K137" s="32" t="n"/>
      <c r="L137" s="32" t="n"/>
      <c r="M137" s="32" t="n"/>
      <c r="N137" s="32" t="n"/>
      <c r="O137" s="32" t="n"/>
      <c r="P137" s="32" t="n"/>
      <c r="Q137" s="32" t="n"/>
      <c r="R137" s="32" t="n"/>
      <c r="S137" s="32" t="n"/>
      <c r="T137" s="32" t="n"/>
      <c r="U137" s="32" t="n"/>
    </row>
    <row r="138" ht="14.25" customHeight="1" s="114">
      <c r="A138" s="97" t="n"/>
      <c r="B138" s="97" t="n"/>
      <c r="C138" s="98" t="n"/>
      <c r="D138" s="98" t="n"/>
      <c r="E138" s="97" t="n"/>
      <c r="F138" s="98" t="n"/>
      <c r="K138" s="32" t="n"/>
      <c r="L138" s="32" t="n"/>
      <c r="M138" s="32" t="n"/>
      <c r="N138" s="32" t="n"/>
      <c r="O138" s="32" t="n"/>
      <c r="P138" s="32" t="n"/>
      <c r="Q138" s="32" t="n"/>
      <c r="R138" s="32" t="n"/>
      <c r="S138" s="32" t="n"/>
      <c r="T138" s="32" t="n"/>
      <c r="U138" s="32" t="n"/>
    </row>
    <row r="139" ht="14.25" customHeight="1" s="114">
      <c r="A139" s="97" t="n"/>
      <c r="B139" s="97" t="n"/>
      <c r="C139" s="98" t="n"/>
      <c r="D139" s="98" t="n"/>
      <c r="E139" s="97" t="n"/>
      <c r="F139" s="98" t="n"/>
      <c r="K139" s="32" t="n"/>
      <c r="L139" s="32" t="n"/>
      <c r="M139" s="32" t="n"/>
      <c r="N139" s="32" t="n"/>
      <c r="O139" s="32" t="n"/>
      <c r="P139" s="32" t="n"/>
      <c r="Q139" s="32" t="n"/>
      <c r="R139" s="32" t="n"/>
      <c r="S139" s="32" t="n"/>
      <c r="T139" s="32" t="n"/>
      <c r="U139" s="32" t="n"/>
    </row>
    <row r="140" ht="14.25" customHeight="1" s="114">
      <c r="A140" s="97" t="n"/>
      <c r="B140" s="97" t="n"/>
      <c r="C140" s="98" t="n"/>
      <c r="D140" s="98" t="n"/>
      <c r="E140" s="97" t="n"/>
      <c r="F140" s="98" t="n"/>
      <c r="K140" s="32" t="n"/>
      <c r="L140" s="32" t="n"/>
      <c r="M140" s="32" t="n"/>
      <c r="N140" s="32" t="n"/>
      <c r="O140" s="32" t="n"/>
      <c r="P140" s="32" t="n"/>
      <c r="Q140" s="32" t="n"/>
      <c r="R140" s="32" t="n"/>
      <c r="S140" s="32" t="n"/>
      <c r="T140" s="32" t="n"/>
      <c r="U140" s="32" t="n"/>
    </row>
    <row r="141" ht="14.25" customHeight="1" s="114">
      <c r="A141" s="97" t="n"/>
      <c r="B141" s="97" t="n"/>
      <c r="C141" s="98" t="n"/>
      <c r="D141" s="98" t="n"/>
      <c r="E141" s="97" t="n"/>
      <c r="F141" s="98" t="n"/>
      <c r="K141" s="32" t="n"/>
      <c r="L141" s="32" t="n"/>
      <c r="M141" s="32" t="n"/>
      <c r="N141" s="32" t="n"/>
      <c r="O141" s="32" t="n"/>
      <c r="P141" s="32" t="n"/>
      <c r="Q141" s="32" t="n"/>
      <c r="R141" s="32" t="n"/>
      <c r="S141" s="32" t="n"/>
      <c r="T141" s="32" t="n"/>
      <c r="U141" s="32" t="n"/>
    </row>
    <row r="142" ht="14.25" customHeight="1" s="114">
      <c r="A142" s="97" t="n"/>
      <c r="B142" s="97" t="n"/>
      <c r="C142" s="98" t="n"/>
      <c r="D142" s="98" t="n"/>
      <c r="E142" s="97" t="n"/>
      <c r="F142" s="98" t="n"/>
      <c r="K142" s="32" t="n"/>
      <c r="L142" s="32" t="n"/>
      <c r="M142" s="32" t="n"/>
      <c r="N142" s="32" t="n"/>
      <c r="O142" s="32" t="n"/>
      <c r="P142" s="32" t="n"/>
      <c r="Q142" s="32" t="n"/>
      <c r="R142" s="32" t="n"/>
      <c r="S142" s="32" t="n"/>
      <c r="T142" s="32" t="n"/>
      <c r="U142" s="32" t="n"/>
    </row>
    <row r="143" ht="14.25" customHeight="1" s="114">
      <c r="A143" s="97" t="n"/>
      <c r="B143" s="97" t="n"/>
      <c r="C143" s="98" t="n"/>
      <c r="D143" s="98" t="n"/>
      <c r="E143" s="97" t="n"/>
      <c r="F143" s="98" t="n"/>
      <c r="K143" s="32" t="n"/>
      <c r="L143" s="32" t="n"/>
      <c r="M143" s="32" t="n"/>
      <c r="N143" s="32" t="n"/>
      <c r="O143" s="32" t="n"/>
      <c r="P143" s="32" t="n"/>
      <c r="Q143" s="32" t="n"/>
      <c r="R143" s="32" t="n"/>
      <c r="S143" s="32" t="n"/>
      <c r="T143" s="32" t="n"/>
      <c r="U143" s="32" t="n"/>
    </row>
    <row r="144" ht="14.25" customHeight="1" s="114">
      <c r="A144" s="97" t="n"/>
      <c r="B144" s="97" t="n"/>
      <c r="C144" s="98" t="n"/>
      <c r="D144" s="98" t="n"/>
      <c r="E144" s="97" t="n"/>
      <c r="F144" s="98" t="n"/>
      <c r="K144" s="32" t="n"/>
      <c r="L144" s="32" t="n"/>
      <c r="M144" s="32" t="n"/>
      <c r="N144" s="32" t="n"/>
      <c r="O144" s="32" t="n"/>
      <c r="P144" s="32" t="n"/>
      <c r="Q144" s="32" t="n"/>
      <c r="R144" s="32" t="n"/>
      <c r="S144" s="32" t="n"/>
      <c r="T144" s="32" t="n"/>
      <c r="U144" s="32" t="n"/>
    </row>
    <row r="145" ht="14.25" customHeight="1" s="114">
      <c r="A145" s="97" t="n"/>
      <c r="B145" s="97" t="n"/>
      <c r="C145" s="98" t="n"/>
      <c r="D145" s="98" t="n"/>
      <c r="E145" s="97" t="n"/>
      <c r="F145" s="98" t="n"/>
      <c r="K145" s="32" t="n"/>
      <c r="L145" s="32" t="n"/>
      <c r="M145" s="32" t="n"/>
      <c r="N145" s="32" t="n"/>
      <c r="O145" s="32" t="n"/>
      <c r="P145" s="32" t="n"/>
      <c r="Q145" s="32" t="n"/>
      <c r="R145" s="32" t="n"/>
      <c r="S145" s="32" t="n"/>
      <c r="T145" s="32" t="n"/>
      <c r="U145" s="32" t="n"/>
    </row>
    <row r="146" ht="14.25" customHeight="1" s="114">
      <c r="A146" s="97" t="n"/>
      <c r="B146" s="97" t="n"/>
      <c r="C146" s="98" t="n"/>
      <c r="D146" s="98" t="n"/>
      <c r="E146" s="97" t="n"/>
      <c r="F146" s="98" t="n"/>
      <c r="K146" s="32" t="n"/>
      <c r="L146" s="32" t="n"/>
      <c r="M146" s="32" t="n"/>
      <c r="N146" s="32" t="n"/>
      <c r="O146" s="32" t="n"/>
      <c r="P146" s="32" t="n"/>
      <c r="Q146" s="32" t="n"/>
      <c r="R146" s="32" t="n"/>
      <c r="S146" s="32" t="n"/>
      <c r="T146" s="32" t="n"/>
      <c r="U146" s="32" t="n"/>
    </row>
    <row r="147" ht="14.25" customHeight="1" s="114">
      <c r="A147" s="97" t="n"/>
      <c r="B147" s="97" t="n"/>
      <c r="C147" s="98" t="n"/>
      <c r="D147" s="98" t="n"/>
      <c r="E147" s="97" t="n"/>
      <c r="F147" s="98" t="n"/>
      <c r="K147" s="32" t="n"/>
      <c r="L147" s="32" t="n"/>
      <c r="M147" s="32" t="n"/>
      <c r="N147" s="32" t="n"/>
      <c r="O147" s="32" t="n"/>
      <c r="P147" s="32" t="n"/>
      <c r="Q147" s="32" t="n"/>
      <c r="R147" s="32" t="n"/>
      <c r="S147" s="32" t="n"/>
      <c r="T147" s="32" t="n"/>
      <c r="U147" s="32" t="n"/>
    </row>
    <row r="148" ht="14.25" customHeight="1" s="114">
      <c r="A148" s="97" t="n"/>
      <c r="B148" s="97" t="n"/>
      <c r="C148" s="98" t="n"/>
      <c r="D148" s="98" t="n"/>
      <c r="E148" s="97" t="n"/>
      <c r="F148" s="98" t="n"/>
      <c r="K148" s="32" t="n"/>
      <c r="L148" s="32" t="n"/>
      <c r="M148" s="32" t="n"/>
      <c r="N148" s="32" t="n"/>
      <c r="O148" s="32" t="n"/>
      <c r="P148" s="32" t="n"/>
      <c r="Q148" s="32" t="n"/>
      <c r="R148" s="32" t="n"/>
      <c r="S148" s="32" t="n"/>
      <c r="T148" s="32" t="n"/>
      <c r="U148" s="32" t="n"/>
    </row>
    <row r="149" ht="14.25" customHeight="1" s="114">
      <c r="A149" s="97" t="n"/>
      <c r="B149" s="97" t="n"/>
      <c r="C149" s="98" t="n"/>
      <c r="D149" s="98" t="n"/>
      <c r="E149" s="97" t="n"/>
      <c r="F149" s="98" t="n"/>
      <c r="K149" s="32" t="n"/>
      <c r="L149" s="32" t="n"/>
      <c r="M149" s="32" t="n"/>
      <c r="N149" s="32" t="n"/>
      <c r="O149" s="32" t="n"/>
      <c r="P149" s="32" t="n"/>
      <c r="Q149" s="32" t="n"/>
      <c r="R149" s="32" t="n"/>
      <c r="S149" s="32" t="n"/>
      <c r="T149" s="32" t="n"/>
      <c r="U149" s="32" t="n"/>
    </row>
    <row r="150" ht="14.25" customHeight="1" s="114">
      <c r="A150" s="97" t="n"/>
      <c r="B150" s="97" t="n"/>
      <c r="C150" s="98" t="n"/>
      <c r="D150" s="98" t="n"/>
      <c r="E150" s="97" t="n"/>
      <c r="F150" s="98" t="n"/>
      <c r="K150" s="32" t="n"/>
      <c r="L150" s="32" t="n"/>
      <c r="M150" s="32" t="n"/>
      <c r="N150" s="32" t="n"/>
      <c r="O150" s="32" t="n"/>
      <c r="P150" s="32" t="n"/>
      <c r="Q150" s="32" t="n"/>
      <c r="R150" s="32" t="n"/>
      <c r="S150" s="32" t="n"/>
      <c r="T150" s="32" t="n"/>
      <c r="U150" s="32" t="n"/>
    </row>
    <row r="151" ht="14.25" customHeight="1" s="114">
      <c r="A151" s="97" t="n"/>
      <c r="B151" s="97" t="n"/>
      <c r="C151" s="98" t="n"/>
      <c r="D151" s="98" t="n"/>
      <c r="E151" s="97" t="n"/>
      <c r="F151" s="98" t="n"/>
      <c r="K151" s="32" t="n"/>
      <c r="L151" s="32" t="n"/>
      <c r="M151" s="32" t="n"/>
      <c r="N151" s="32" t="n"/>
      <c r="O151" s="32" t="n"/>
      <c r="P151" s="32" t="n"/>
      <c r="Q151" s="32" t="n"/>
      <c r="R151" s="32" t="n"/>
      <c r="S151" s="32" t="n"/>
      <c r="T151" s="32" t="n"/>
      <c r="U151" s="32" t="n"/>
    </row>
    <row r="152" ht="14.25" customHeight="1" s="114">
      <c r="A152" s="97" t="n"/>
      <c r="B152" s="97" t="n"/>
      <c r="C152" s="98" t="n"/>
      <c r="D152" s="98" t="n"/>
      <c r="E152" s="97" t="n"/>
      <c r="F152" s="98" t="n"/>
      <c r="K152" s="32" t="n"/>
      <c r="L152" s="32" t="n"/>
      <c r="M152" s="32" t="n"/>
      <c r="N152" s="32" t="n"/>
      <c r="O152" s="32" t="n"/>
      <c r="P152" s="32" t="n"/>
      <c r="Q152" s="32" t="n"/>
      <c r="R152" s="32" t="n"/>
      <c r="S152" s="32" t="n"/>
      <c r="T152" s="32" t="n"/>
      <c r="U152" s="32" t="n"/>
    </row>
    <row r="153" ht="14.25" customHeight="1" s="114">
      <c r="A153" s="97" t="n"/>
      <c r="B153" s="97" t="n"/>
      <c r="C153" s="98" t="n"/>
      <c r="D153" s="98" t="n"/>
      <c r="E153" s="97" t="n"/>
      <c r="F153" s="98" t="n"/>
      <c r="K153" s="32" t="n"/>
      <c r="L153" s="32" t="n"/>
      <c r="M153" s="32" t="n"/>
      <c r="N153" s="32" t="n"/>
      <c r="O153" s="32" t="n"/>
      <c r="P153" s="32" t="n"/>
      <c r="Q153" s="32" t="n"/>
      <c r="R153" s="32" t="n"/>
      <c r="S153" s="32" t="n"/>
      <c r="T153" s="32" t="n"/>
      <c r="U153" s="32" t="n"/>
    </row>
    <row r="154" ht="14.25" customHeight="1" s="114">
      <c r="A154" s="97" t="n"/>
      <c r="B154" s="97" t="n"/>
      <c r="C154" s="98" t="n"/>
      <c r="D154" s="98" t="n"/>
      <c r="E154" s="97" t="n"/>
      <c r="F154" s="98" t="n"/>
      <c r="K154" s="32" t="n"/>
      <c r="L154" s="32" t="n"/>
      <c r="M154" s="32" t="n"/>
      <c r="N154" s="32" t="n"/>
      <c r="O154" s="32" t="n"/>
      <c r="P154" s="32" t="n"/>
      <c r="Q154" s="32" t="n"/>
      <c r="R154" s="32" t="n"/>
      <c r="S154" s="32" t="n"/>
      <c r="T154" s="32" t="n"/>
      <c r="U154" s="32" t="n"/>
    </row>
    <row r="155" ht="14.25" customHeight="1" s="114">
      <c r="A155" s="97" t="n"/>
      <c r="B155" s="97" t="n"/>
      <c r="C155" s="98" t="n"/>
      <c r="D155" s="98" t="n"/>
      <c r="E155" s="97" t="n"/>
      <c r="F155" s="98" t="n"/>
      <c r="K155" s="32" t="n"/>
      <c r="L155" s="32" t="n"/>
      <c r="M155" s="32" t="n"/>
      <c r="N155" s="32" t="n"/>
      <c r="O155" s="32" t="n"/>
      <c r="P155" s="32" t="n"/>
      <c r="Q155" s="32" t="n"/>
      <c r="R155" s="32" t="n"/>
      <c r="S155" s="32" t="n"/>
      <c r="T155" s="32" t="n"/>
      <c r="U155" s="32" t="n"/>
    </row>
    <row r="156" ht="14.25" customHeight="1" s="114">
      <c r="A156" s="97" t="n"/>
      <c r="B156" s="97" t="n"/>
      <c r="C156" s="98" t="n"/>
      <c r="D156" s="98" t="n"/>
      <c r="E156" s="97" t="n"/>
      <c r="F156" s="98" t="n"/>
      <c r="K156" s="32" t="n"/>
      <c r="L156" s="32" t="n"/>
      <c r="M156" s="32" t="n"/>
      <c r="N156" s="32" t="n"/>
      <c r="O156" s="32" t="n"/>
      <c r="P156" s="32" t="n"/>
      <c r="Q156" s="32" t="n"/>
      <c r="R156" s="32" t="n"/>
      <c r="S156" s="32" t="n"/>
      <c r="T156" s="32" t="n"/>
      <c r="U156" s="32" t="n"/>
    </row>
    <row r="157" ht="14.25" customHeight="1" s="114">
      <c r="A157" s="97" t="n"/>
      <c r="B157" s="97" t="n"/>
      <c r="C157" s="98" t="n"/>
      <c r="D157" s="98" t="n"/>
      <c r="E157" s="97" t="n"/>
      <c r="F157" s="98" t="n"/>
      <c r="K157" s="32" t="n"/>
      <c r="L157" s="32" t="n"/>
      <c r="M157" s="32" t="n"/>
      <c r="N157" s="32" t="n"/>
      <c r="O157" s="32" t="n"/>
      <c r="P157" s="32" t="n"/>
      <c r="Q157" s="32" t="n"/>
      <c r="R157" s="32" t="n"/>
      <c r="S157" s="32" t="n"/>
      <c r="T157" s="32" t="n"/>
      <c r="U157" s="32" t="n"/>
    </row>
    <row r="158" ht="14.25" customHeight="1" s="114">
      <c r="A158" s="97" t="n"/>
      <c r="B158" s="97" t="n"/>
      <c r="C158" s="98" t="n"/>
      <c r="D158" s="98" t="n"/>
      <c r="E158" s="97" t="n"/>
      <c r="F158" s="98" t="n"/>
      <c r="K158" s="32" t="n"/>
      <c r="L158" s="32" t="n"/>
      <c r="M158" s="32" t="n"/>
      <c r="N158" s="32" t="n"/>
      <c r="O158" s="32" t="n"/>
      <c r="P158" s="32" t="n"/>
      <c r="Q158" s="32" t="n"/>
      <c r="R158" s="32" t="n"/>
      <c r="S158" s="32" t="n"/>
      <c r="T158" s="32" t="n"/>
      <c r="U158" s="32" t="n"/>
    </row>
    <row r="159" ht="14.25" customHeight="1" s="114">
      <c r="A159" s="97" t="n"/>
      <c r="B159" s="97" t="n"/>
      <c r="C159" s="98" t="n"/>
      <c r="D159" s="98" t="n"/>
      <c r="E159" s="97" t="n"/>
      <c r="F159" s="98" t="n"/>
      <c r="K159" s="32" t="n"/>
      <c r="L159" s="32" t="n"/>
      <c r="M159" s="32" t="n"/>
      <c r="N159" s="32" t="n"/>
      <c r="O159" s="32" t="n"/>
      <c r="P159" s="32" t="n"/>
      <c r="Q159" s="32" t="n"/>
      <c r="R159" s="32" t="n"/>
      <c r="S159" s="32" t="n"/>
      <c r="T159" s="32" t="n"/>
      <c r="U159" s="32" t="n"/>
    </row>
    <row r="160" ht="14.25" customHeight="1" s="114">
      <c r="A160" s="97" t="n"/>
      <c r="B160" s="97" t="n"/>
      <c r="C160" s="98" t="n"/>
      <c r="D160" s="98" t="n"/>
      <c r="E160" s="97" t="n"/>
      <c r="F160" s="98" t="n"/>
      <c r="K160" s="32" t="n"/>
      <c r="L160" s="32" t="n"/>
      <c r="M160" s="32" t="n"/>
      <c r="N160" s="32" t="n"/>
      <c r="O160" s="32" t="n"/>
      <c r="P160" s="32" t="n"/>
      <c r="Q160" s="32" t="n"/>
      <c r="R160" s="32" t="n"/>
      <c r="S160" s="32" t="n"/>
      <c r="T160" s="32" t="n"/>
      <c r="U160" s="32" t="n"/>
    </row>
    <row r="161" ht="14.25" customHeight="1" s="114">
      <c r="A161" s="97" t="n"/>
      <c r="B161" s="97" t="n"/>
      <c r="C161" s="98" t="n"/>
      <c r="D161" s="98" t="n"/>
      <c r="E161" s="97" t="n"/>
      <c r="F161" s="98" t="n"/>
      <c r="K161" s="32" t="n"/>
      <c r="L161" s="32" t="n"/>
      <c r="M161" s="32" t="n"/>
      <c r="N161" s="32" t="n"/>
      <c r="O161" s="32" t="n"/>
      <c r="P161" s="32" t="n"/>
      <c r="Q161" s="32" t="n"/>
      <c r="R161" s="32" t="n"/>
      <c r="S161" s="32" t="n"/>
      <c r="T161" s="32" t="n"/>
      <c r="U161" s="32" t="n"/>
    </row>
    <row r="162" ht="14.25" customHeight="1" s="114">
      <c r="A162" s="97" t="n"/>
      <c r="B162" s="97" t="n"/>
      <c r="C162" s="98" t="n"/>
      <c r="D162" s="98" t="n"/>
      <c r="E162" s="97" t="n"/>
      <c r="F162" s="98" t="n"/>
      <c r="K162" s="32" t="n"/>
      <c r="L162" s="32" t="n"/>
      <c r="M162" s="32" t="n"/>
      <c r="N162" s="32" t="n"/>
      <c r="O162" s="32" t="n"/>
      <c r="P162" s="32" t="n"/>
      <c r="Q162" s="32" t="n"/>
      <c r="R162" s="32" t="n"/>
      <c r="S162" s="32" t="n"/>
      <c r="T162" s="32" t="n"/>
      <c r="U162" s="32" t="n"/>
    </row>
    <row r="163" ht="14.25" customHeight="1" s="114">
      <c r="A163" s="97" t="n"/>
      <c r="B163" s="97" t="n"/>
      <c r="C163" s="98" t="n"/>
      <c r="D163" s="98" t="n"/>
      <c r="E163" s="97" t="n"/>
      <c r="F163" s="98" t="n"/>
      <c r="K163" s="32" t="n"/>
      <c r="L163" s="32" t="n"/>
      <c r="M163" s="32" t="n"/>
      <c r="N163" s="32" t="n"/>
      <c r="O163" s="32" t="n"/>
      <c r="P163" s="32" t="n"/>
      <c r="Q163" s="32" t="n"/>
      <c r="R163" s="32" t="n"/>
      <c r="S163" s="32" t="n"/>
      <c r="T163" s="32" t="n"/>
      <c r="U163" s="32" t="n"/>
    </row>
    <row r="164" ht="14.25" customHeight="1" s="114">
      <c r="A164" s="97" t="n"/>
      <c r="B164" s="97" t="n"/>
      <c r="C164" s="98" t="n"/>
      <c r="D164" s="98" t="n"/>
      <c r="E164" s="97" t="n"/>
      <c r="F164" s="98" t="n"/>
      <c r="K164" s="32" t="n"/>
      <c r="L164" s="32" t="n"/>
      <c r="M164" s="32" t="n"/>
      <c r="N164" s="32" t="n"/>
      <c r="O164" s="32" t="n"/>
      <c r="P164" s="32" t="n"/>
      <c r="Q164" s="32" t="n"/>
      <c r="R164" s="32" t="n"/>
      <c r="S164" s="32" t="n"/>
      <c r="T164" s="32" t="n"/>
      <c r="U164" s="32" t="n"/>
    </row>
    <row r="165" ht="14.25" customHeight="1" s="114">
      <c r="A165" s="97" t="n"/>
      <c r="B165" s="97" t="n"/>
      <c r="C165" s="98" t="n"/>
      <c r="D165" s="98" t="n"/>
      <c r="E165" s="97" t="n"/>
      <c r="F165" s="98" t="n"/>
      <c r="K165" s="32" t="n"/>
      <c r="L165" s="32" t="n"/>
      <c r="M165" s="32" t="n"/>
      <c r="N165" s="32" t="n"/>
      <c r="O165" s="32" t="n"/>
      <c r="P165" s="32" t="n"/>
      <c r="Q165" s="32" t="n"/>
      <c r="R165" s="32" t="n"/>
      <c r="S165" s="32" t="n"/>
      <c r="T165" s="32" t="n"/>
      <c r="U165" s="32" t="n"/>
    </row>
    <row r="166" ht="14.25" customHeight="1" s="114">
      <c r="A166" s="97" t="n"/>
      <c r="B166" s="97" t="n"/>
      <c r="C166" s="98" t="n"/>
      <c r="D166" s="98" t="n"/>
      <c r="E166" s="97" t="n"/>
      <c r="F166" s="98" t="n"/>
      <c r="K166" s="32" t="n"/>
      <c r="L166" s="32" t="n"/>
      <c r="M166" s="32" t="n"/>
      <c r="N166" s="32" t="n"/>
      <c r="O166" s="32" t="n"/>
      <c r="P166" s="32" t="n"/>
      <c r="Q166" s="32" t="n"/>
      <c r="R166" s="32" t="n"/>
      <c r="S166" s="32" t="n"/>
      <c r="T166" s="32" t="n"/>
      <c r="U166" s="32" t="n"/>
    </row>
    <row r="167" ht="14.25" customHeight="1" s="114">
      <c r="A167" s="97" t="n"/>
      <c r="B167" s="97" t="n"/>
      <c r="C167" s="98" t="n"/>
      <c r="D167" s="98" t="n"/>
      <c r="E167" s="97" t="n"/>
      <c r="F167" s="98" t="n"/>
      <c r="K167" s="32" t="n"/>
      <c r="L167" s="32" t="n"/>
      <c r="M167" s="32" t="n"/>
      <c r="N167" s="32" t="n"/>
      <c r="O167" s="32" t="n"/>
      <c r="P167" s="32" t="n"/>
      <c r="Q167" s="32" t="n"/>
      <c r="R167" s="32" t="n"/>
      <c r="S167" s="32" t="n"/>
      <c r="T167" s="32" t="n"/>
      <c r="U167" s="32" t="n"/>
    </row>
    <row r="168" ht="14.25" customHeight="1" s="114">
      <c r="A168" s="97" t="n"/>
      <c r="B168" s="97" t="n"/>
      <c r="C168" s="98" t="n"/>
      <c r="D168" s="98" t="n"/>
      <c r="E168" s="97" t="n"/>
      <c r="F168" s="98" t="n"/>
      <c r="K168" s="32" t="n"/>
      <c r="L168" s="32" t="n"/>
      <c r="M168" s="32" t="n"/>
      <c r="N168" s="32" t="n"/>
      <c r="O168" s="32" t="n"/>
      <c r="P168" s="32" t="n"/>
      <c r="Q168" s="32" t="n"/>
      <c r="R168" s="32" t="n"/>
      <c r="S168" s="32" t="n"/>
      <c r="T168" s="32" t="n"/>
      <c r="U168" s="32" t="n"/>
    </row>
    <row r="169" ht="14.25" customHeight="1" s="114">
      <c r="A169" s="97" t="n"/>
      <c r="B169" s="97" t="n"/>
      <c r="C169" s="98" t="n"/>
      <c r="D169" s="98" t="n"/>
      <c r="E169" s="97" t="n"/>
      <c r="F169" s="98" t="n"/>
      <c r="K169" s="32" t="n"/>
      <c r="L169" s="32" t="n"/>
      <c r="M169" s="32" t="n"/>
      <c r="N169" s="32" t="n"/>
      <c r="O169" s="32" t="n"/>
      <c r="P169" s="32" t="n"/>
      <c r="Q169" s="32" t="n"/>
      <c r="R169" s="32" t="n"/>
      <c r="S169" s="32" t="n"/>
      <c r="T169" s="32" t="n"/>
      <c r="U169" s="32" t="n"/>
    </row>
    <row r="170" ht="14.25" customHeight="1" s="114">
      <c r="A170" s="97" t="n"/>
      <c r="B170" s="97" t="n"/>
      <c r="C170" s="98" t="n"/>
      <c r="D170" s="98" t="n"/>
      <c r="E170" s="97" t="n"/>
      <c r="F170" s="98" t="n"/>
      <c r="K170" s="32" t="n"/>
      <c r="L170" s="32" t="n"/>
      <c r="M170" s="32" t="n"/>
      <c r="N170" s="32" t="n"/>
      <c r="O170" s="32" t="n"/>
      <c r="P170" s="32" t="n"/>
      <c r="Q170" s="32" t="n"/>
      <c r="R170" s="32" t="n"/>
      <c r="S170" s="32" t="n"/>
      <c r="T170" s="32" t="n"/>
      <c r="U170" s="32" t="n"/>
    </row>
    <row r="171" ht="14.25" customHeight="1" s="114">
      <c r="A171" s="97" t="n"/>
      <c r="B171" s="97" t="n"/>
      <c r="C171" s="98" t="n"/>
      <c r="D171" s="98" t="n"/>
      <c r="E171" s="97" t="n"/>
      <c r="F171" s="98" t="n"/>
      <c r="K171" s="32" t="n"/>
      <c r="L171" s="32" t="n"/>
      <c r="M171" s="32" t="n"/>
      <c r="N171" s="32" t="n"/>
      <c r="O171" s="32" t="n"/>
      <c r="P171" s="32" t="n"/>
      <c r="Q171" s="32" t="n"/>
      <c r="R171" s="32" t="n"/>
      <c r="S171" s="32" t="n"/>
      <c r="T171" s="32" t="n"/>
      <c r="U171" s="32" t="n"/>
    </row>
    <row r="172" ht="14.25" customHeight="1" s="114">
      <c r="A172" s="97" t="n"/>
      <c r="B172" s="97" t="n"/>
      <c r="C172" s="98" t="n"/>
      <c r="D172" s="98" t="n"/>
      <c r="E172" s="97" t="n"/>
      <c r="F172" s="98" t="n"/>
      <c r="K172" s="32" t="n"/>
      <c r="L172" s="32" t="n"/>
      <c r="M172" s="32" t="n"/>
      <c r="N172" s="32" t="n"/>
      <c r="O172" s="32" t="n"/>
      <c r="P172" s="32" t="n"/>
      <c r="Q172" s="32" t="n"/>
      <c r="R172" s="32" t="n"/>
      <c r="S172" s="32" t="n"/>
      <c r="T172" s="32" t="n"/>
      <c r="U172" s="32" t="n"/>
    </row>
    <row r="173" ht="14.25" customHeight="1" s="114">
      <c r="A173" s="97" t="n"/>
      <c r="B173" s="97" t="n"/>
      <c r="C173" s="98" t="n"/>
      <c r="D173" s="98" t="n"/>
      <c r="E173" s="97" t="n"/>
      <c r="F173" s="98" t="n"/>
      <c r="K173" s="32" t="n"/>
      <c r="L173" s="32" t="n"/>
      <c r="M173" s="32" t="n"/>
      <c r="N173" s="32" t="n"/>
      <c r="O173" s="32" t="n"/>
      <c r="P173" s="32" t="n"/>
      <c r="Q173" s="32" t="n"/>
      <c r="R173" s="32" t="n"/>
      <c r="S173" s="32" t="n"/>
      <c r="T173" s="32" t="n"/>
      <c r="U173" s="32" t="n"/>
    </row>
    <row r="174" ht="14.25" customHeight="1" s="114">
      <c r="A174" s="97" t="n"/>
      <c r="B174" s="97" t="n"/>
      <c r="C174" s="98" t="n"/>
      <c r="D174" s="98" t="n"/>
      <c r="E174" s="97" t="n"/>
      <c r="F174" s="98" t="n"/>
      <c r="K174" s="32" t="n"/>
      <c r="L174" s="32" t="n"/>
      <c r="M174" s="32" t="n"/>
      <c r="N174" s="32" t="n"/>
      <c r="O174" s="32" t="n"/>
      <c r="P174" s="32" t="n"/>
      <c r="Q174" s="32" t="n"/>
      <c r="R174" s="32" t="n"/>
      <c r="S174" s="32" t="n"/>
      <c r="T174" s="32" t="n"/>
      <c r="U174" s="32" t="n"/>
    </row>
    <row r="175" ht="14.25" customHeight="1" s="114">
      <c r="A175" s="97" t="n"/>
      <c r="B175" s="97" t="n"/>
      <c r="C175" s="98" t="n"/>
      <c r="D175" s="98" t="n"/>
      <c r="E175" s="97" t="n"/>
      <c r="F175" s="98" t="n"/>
      <c r="K175" s="32" t="n"/>
      <c r="L175" s="32" t="n"/>
      <c r="M175" s="32" t="n"/>
      <c r="N175" s="32" t="n"/>
      <c r="O175" s="32" t="n"/>
      <c r="P175" s="32" t="n"/>
      <c r="Q175" s="32" t="n"/>
      <c r="R175" s="32" t="n"/>
      <c r="S175" s="32" t="n"/>
      <c r="T175" s="32" t="n"/>
      <c r="U175" s="32" t="n"/>
    </row>
    <row r="176" ht="14.25" customHeight="1" s="114">
      <c r="A176" s="97" t="n"/>
      <c r="B176" s="97" t="n"/>
      <c r="C176" s="98" t="n"/>
      <c r="D176" s="98" t="n"/>
      <c r="E176" s="97" t="n"/>
      <c r="F176" s="98" t="n"/>
      <c r="K176" s="32" t="n"/>
      <c r="L176" s="32" t="n"/>
      <c r="M176" s="32" t="n"/>
      <c r="N176" s="32" t="n"/>
      <c r="O176" s="32" t="n"/>
      <c r="P176" s="32" t="n"/>
      <c r="Q176" s="32" t="n"/>
      <c r="R176" s="32" t="n"/>
      <c r="S176" s="32" t="n"/>
      <c r="T176" s="32" t="n"/>
      <c r="U176" s="32" t="n"/>
    </row>
    <row r="177" ht="14.25" customHeight="1" s="114">
      <c r="A177" s="97" t="n"/>
      <c r="B177" s="97" t="n"/>
      <c r="C177" s="98" t="n"/>
      <c r="D177" s="98" t="n"/>
      <c r="E177" s="97" t="n"/>
      <c r="F177" s="98" t="n"/>
      <c r="K177" s="32" t="n"/>
      <c r="L177" s="32" t="n"/>
      <c r="M177" s="32" t="n"/>
      <c r="N177" s="32" t="n"/>
      <c r="O177" s="32" t="n"/>
      <c r="P177" s="32" t="n"/>
      <c r="Q177" s="32" t="n"/>
      <c r="R177" s="32" t="n"/>
      <c r="S177" s="32" t="n"/>
      <c r="T177" s="32" t="n"/>
      <c r="U177" s="32" t="n"/>
    </row>
    <row r="178" ht="14.25" customHeight="1" s="114">
      <c r="A178" s="97" t="n"/>
      <c r="B178" s="97" t="n"/>
      <c r="C178" s="98" t="n"/>
      <c r="D178" s="98" t="n"/>
      <c r="E178" s="97" t="n"/>
      <c r="F178" s="98" t="n"/>
      <c r="K178" s="32" t="n"/>
      <c r="L178" s="32" t="n"/>
      <c r="M178" s="32" t="n"/>
      <c r="N178" s="32" t="n"/>
      <c r="O178" s="32" t="n"/>
      <c r="P178" s="32" t="n"/>
      <c r="Q178" s="32" t="n"/>
      <c r="R178" s="32" t="n"/>
      <c r="S178" s="32" t="n"/>
      <c r="T178" s="32" t="n"/>
      <c r="U178" s="32" t="n"/>
    </row>
    <row r="179" ht="14.25" customHeight="1" s="114">
      <c r="A179" s="97" t="n"/>
      <c r="B179" s="97" t="n"/>
      <c r="C179" s="98" t="n"/>
      <c r="D179" s="98" t="n"/>
      <c r="E179" s="97" t="n"/>
      <c r="F179" s="98" t="n"/>
      <c r="K179" s="32" t="n"/>
      <c r="L179" s="32" t="n"/>
      <c r="M179" s="32" t="n"/>
      <c r="N179" s="32" t="n"/>
      <c r="O179" s="32" t="n"/>
      <c r="P179" s="32" t="n"/>
      <c r="Q179" s="32" t="n"/>
      <c r="R179" s="32" t="n"/>
      <c r="S179" s="32" t="n"/>
      <c r="T179" s="32" t="n"/>
      <c r="U179" s="32" t="n"/>
    </row>
    <row r="180" ht="14.25" customHeight="1" s="114">
      <c r="A180" s="97" t="n"/>
      <c r="B180" s="97" t="n"/>
      <c r="C180" s="98" t="n"/>
      <c r="D180" s="98" t="n"/>
      <c r="E180" s="97" t="n"/>
      <c r="F180" s="98" t="n"/>
      <c r="K180" s="32" t="n"/>
      <c r="L180" s="32" t="n"/>
      <c r="M180" s="32" t="n"/>
      <c r="N180" s="32" t="n"/>
      <c r="O180" s="32" t="n"/>
      <c r="P180" s="32" t="n"/>
      <c r="Q180" s="32" t="n"/>
      <c r="R180" s="32" t="n"/>
      <c r="S180" s="32" t="n"/>
      <c r="T180" s="32" t="n"/>
      <c r="U180" s="32" t="n"/>
    </row>
    <row r="181" ht="14.25" customHeight="1" s="114">
      <c r="A181" s="97" t="n"/>
      <c r="B181" s="97" t="n"/>
      <c r="C181" s="98" t="n"/>
      <c r="D181" s="98" t="n"/>
      <c r="E181" s="97" t="n"/>
      <c r="F181" s="98" t="n"/>
      <c r="K181" s="32" t="n"/>
      <c r="L181" s="32" t="n"/>
      <c r="M181" s="32" t="n"/>
      <c r="N181" s="32" t="n"/>
      <c r="O181" s="32" t="n"/>
      <c r="P181" s="32" t="n"/>
      <c r="Q181" s="32" t="n"/>
      <c r="R181" s="32" t="n"/>
      <c r="S181" s="32" t="n"/>
      <c r="T181" s="32" t="n"/>
      <c r="U181" s="32" t="n"/>
    </row>
    <row r="182" ht="14.25" customHeight="1" s="114">
      <c r="A182" s="97" t="n"/>
      <c r="B182" s="97" t="n"/>
      <c r="C182" s="98" t="n"/>
      <c r="D182" s="98" t="n"/>
      <c r="E182" s="97" t="n"/>
      <c r="F182" s="98" t="n"/>
      <c r="K182" s="32" t="n"/>
      <c r="L182" s="32" t="n"/>
      <c r="M182" s="32" t="n"/>
      <c r="N182" s="32" t="n"/>
      <c r="O182" s="32" t="n"/>
      <c r="P182" s="32" t="n"/>
      <c r="Q182" s="32" t="n"/>
      <c r="R182" s="32" t="n"/>
      <c r="S182" s="32" t="n"/>
      <c r="T182" s="32" t="n"/>
      <c r="U182" s="32" t="n"/>
    </row>
    <row r="183" ht="14.25" customHeight="1" s="114">
      <c r="A183" s="97" t="n"/>
      <c r="B183" s="97" t="n"/>
      <c r="C183" s="98" t="n"/>
      <c r="D183" s="98" t="n"/>
      <c r="E183" s="97" t="n"/>
      <c r="F183" s="98" t="n"/>
      <c r="K183" s="32" t="n"/>
      <c r="L183" s="32" t="n"/>
      <c r="M183" s="32" t="n"/>
      <c r="N183" s="32" t="n"/>
      <c r="O183" s="32" t="n"/>
      <c r="P183" s="32" t="n"/>
      <c r="Q183" s="32" t="n"/>
      <c r="R183" s="32" t="n"/>
      <c r="S183" s="32" t="n"/>
      <c r="T183" s="32" t="n"/>
      <c r="U183" s="32" t="n"/>
    </row>
    <row r="184" ht="14.25" customHeight="1" s="114">
      <c r="A184" s="97" t="n"/>
      <c r="B184" s="97" t="n"/>
      <c r="C184" s="98" t="n"/>
      <c r="D184" s="98" t="n"/>
      <c r="E184" s="97" t="n"/>
      <c r="F184" s="98" t="n"/>
      <c r="K184" s="32" t="n"/>
      <c r="L184" s="32" t="n"/>
      <c r="M184" s="32" t="n"/>
      <c r="N184" s="32" t="n"/>
      <c r="O184" s="32" t="n"/>
      <c r="P184" s="32" t="n"/>
      <c r="Q184" s="32" t="n"/>
      <c r="R184" s="32" t="n"/>
      <c r="S184" s="32" t="n"/>
      <c r="T184" s="32" t="n"/>
      <c r="U184" s="32" t="n"/>
    </row>
    <row r="185" ht="14.25" customHeight="1" s="114">
      <c r="A185" s="97" t="n"/>
      <c r="B185" s="97" t="n"/>
      <c r="C185" s="98" t="n"/>
      <c r="D185" s="98" t="n"/>
      <c r="E185" s="97" t="n"/>
      <c r="F185" s="98" t="n"/>
      <c r="K185" s="32" t="n"/>
      <c r="L185" s="32" t="n"/>
      <c r="M185" s="32" t="n"/>
      <c r="N185" s="32" t="n"/>
      <c r="O185" s="32" t="n"/>
      <c r="P185" s="32" t="n"/>
      <c r="Q185" s="32" t="n"/>
      <c r="R185" s="32" t="n"/>
      <c r="S185" s="32" t="n"/>
      <c r="T185" s="32" t="n"/>
      <c r="U185" s="32" t="n"/>
    </row>
    <row r="186" ht="14.25" customHeight="1" s="114">
      <c r="A186" s="97" t="n"/>
      <c r="B186" s="97" t="n"/>
      <c r="C186" s="98" t="n"/>
      <c r="D186" s="98" t="n"/>
      <c r="E186" s="97" t="n"/>
      <c r="F186" s="98" t="n"/>
      <c r="K186" s="32" t="n"/>
      <c r="L186" s="32" t="n"/>
      <c r="M186" s="32" t="n"/>
      <c r="N186" s="32" t="n"/>
      <c r="O186" s="32" t="n"/>
      <c r="P186" s="32" t="n"/>
      <c r="Q186" s="32" t="n"/>
      <c r="R186" s="32" t="n"/>
      <c r="S186" s="32" t="n"/>
      <c r="T186" s="32" t="n"/>
      <c r="U186" s="32" t="n"/>
    </row>
    <row r="187" ht="14.25" customHeight="1" s="114">
      <c r="A187" s="97" t="n"/>
      <c r="B187" s="97" t="n"/>
      <c r="C187" s="98" t="n"/>
      <c r="D187" s="98" t="n"/>
      <c r="E187" s="97" t="n"/>
      <c r="F187" s="98" t="n"/>
      <c r="K187" s="32" t="n"/>
      <c r="L187" s="32" t="n"/>
      <c r="M187" s="32" t="n"/>
      <c r="N187" s="32" t="n"/>
      <c r="O187" s="32" t="n"/>
      <c r="P187" s="32" t="n"/>
      <c r="Q187" s="32" t="n"/>
      <c r="R187" s="32" t="n"/>
      <c r="S187" s="32" t="n"/>
      <c r="T187" s="32" t="n"/>
      <c r="U187" s="32" t="n"/>
    </row>
    <row r="188" ht="14.25" customHeight="1" s="114">
      <c r="A188" s="97" t="n"/>
      <c r="B188" s="97" t="n"/>
      <c r="C188" s="98" t="n"/>
      <c r="D188" s="98" t="n"/>
      <c r="E188" s="97" t="n"/>
      <c r="F188" s="98" t="n"/>
      <c r="K188" s="32" t="n"/>
      <c r="L188" s="32" t="n"/>
      <c r="M188" s="32" t="n"/>
      <c r="N188" s="32" t="n"/>
      <c r="O188" s="32" t="n"/>
      <c r="P188" s="32" t="n"/>
      <c r="Q188" s="32" t="n"/>
      <c r="R188" s="32" t="n"/>
      <c r="S188" s="32" t="n"/>
      <c r="T188" s="32" t="n"/>
      <c r="U188" s="32" t="n"/>
    </row>
    <row r="189" ht="14.25" customHeight="1" s="114">
      <c r="A189" s="97" t="n"/>
      <c r="B189" s="97" t="n"/>
      <c r="C189" s="98" t="n"/>
      <c r="D189" s="98" t="n"/>
      <c r="E189" s="97" t="n"/>
      <c r="F189" s="98" t="n"/>
      <c r="K189" s="32" t="n"/>
      <c r="L189" s="32" t="n"/>
      <c r="M189" s="32" t="n"/>
      <c r="N189" s="32" t="n"/>
      <c r="O189" s="32" t="n"/>
      <c r="P189" s="32" t="n"/>
      <c r="Q189" s="32" t="n"/>
      <c r="R189" s="32" t="n"/>
      <c r="S189" s="32" t="n"/>
      <c r="T189" s="32" t="n"/>
      <c r="U189" s="32" t="n"/>
    </row>
    <row r="190" ht="14.25" customHeight="1" s="114">
      <c r="A190" s="97" t="n"/>
      <c r="B190" s="97" t="n"/>
      <c r="C190" s="98" t="n"/>
      <c r="D190" s="98" t="n"/>
      <c r="E190" s="97" t="n"/>
      <c r="F190" s="98" t="n"/>
      <c r="K190" s="32" t="n"/>
      <c r="L190" s="32" t="n"/>
      <c r="M190" s="32" t="n"/>
      <c r="N190" s="32" t="n"/>
      <c r="O190" s="32" t="n"/>
      <c r="P190" s="32" t="n"/>
      <c r="Q190" s="32" t="n"/>
      <c r="R190" s="32" t="n"/>
      <c r="S190" s="32" t="n"/>
      <c r="T190" s="32" t="n"/>
      <c r="U190" s="32" t="n"/>
    </row>
    <row r="191" ht="14.25" customHeight="1" s="114">
      <c r="A191" s="97" t="n"/>
      <c r="B191" s="97" t="n"/>
      <c r="C191" s="98" t="n"/>
      <c r="D191" s="98" t="n"/>
      <c r="E191" s="97" t="n"/>
      <c r="F191" s="98" t="n"/>
      <c r="K191" s="32" t="n"/>
      <c r="L191" s="32" t="n"/>
      <c r="M191" s="32" t="n"/>
      <c r="N191" s="32" t="n"/>
      <c r="O191" s="32" t="n"/>
      <c r="P191" s="32" t="n"/>
      <c r="Q191" s="32" t="n"/>
      <c r="R191" s="32" t="n"/>
      <c r="S191" s="32" t="n"/>
      <c r="T191" s="32" t="n"/>
      <c r="U191" s="32" t="n"/>
    </row>
    <row r="192" ht="14.25" customHeight="1" s="114">
      <c r="A192" s="97" t="n"/>
      <c r="B192" s="97" t="n"/>
      <c r="C192" s="98" t="n"/>
      <c r="D192" s="98" t="n"/>
      <c r="E192" s="97" t="n"/>
      <c r="F192" s="98" t="n"/>
      <c r="K192" s="32" t="n"/>
      <c r="L192" s="32" t="n"/>
      <c r="M192" s="32" t="n"/>
      <c r="N192" s="32" t="n"/>
      <c r="O192" s="32" t="n"/>
      <c r="P192" s="32" t="n"/>
      <c r="Q192" s="32" t="n"/>
      <c r="R192" s="32" t="n"/>
      <c r="S192" s="32" t="n"/>
      <c r="T192" s="32" t="n"/>
      <c r="U192" s="32" t="n"/>
    </row>
    <row r="193" ht="14.25" customHeight="1" s="114">
      <c r="A193" s="97" t="n"/>
      <c r="B193" s="97" t="n"/>
      <c r="C193" s="98" t="n"/>
      <c r="D193" s="98" t="n"/>
      <c r="E193" s="97" t="n"/>
      <c r="F193" s="98" t="n"/>
      <c r="K193" s="32" t="n"/>
      <c r="L193" s="32" t="n"/>
      <c r="M193" s="32" t="n"/>
      <c r="N193" s="32" t="n"/>
      <c r="O193" s="32" t="n"/>
      <c r="P193" s="32" t="n"/>
      <c r="Q193" s="32" t="n"/>
      <c r="R193" s="32" t="n"/>
      <c r="S193" s="32" t="n"/>
      <c r="T193" s="32" t="n"/>
      <c r="U193" s="32" t="n"/>
    </row>
    <row r="194" ht="14.25" customHeight="1" s="114">
      <c r="A194" s="97" t="n"/>
      <c r="B194" s="97" t="n"/>
      <c r="C194" s="98" t="n"/>
      <c r="D194" s="98" t="n"/>
      <c r="E194" s="97" t="n"/>
      <c r="F194" s="98" t="n"/>
      <c r="K194" s="32" t="n"/>
      <c r="L194" s="32" t="n"/>
      <c r="M194" s="32" t="n"/>
      <c r="N194" s="32" t="n"/>
      <c r="O194" s="32" t="n"/>
      <c r="P194" s="32" t="n"/>
      <c r="Q194" s="32" t="n"/>
      <c r="R194" s="32" t="n"/>
      <c r="S194" s="32" t="n"/>
      <c r="T194" s="32" t="n"/>
      <c r="U194" s="32" t="n"/>
    </row>
    <row r="195" ht="14.25" customHeight="1" s="114">
      <c r="A195" s="97" t="n"/>
      <c r="B195" s="97" t="n"/>
      <c r="C195" s="98" t="n"/>
      <c r="D195" s="98" t="n"/>
      <c r="E195" s="97" t="n"/>
      <c r="F195" s="98" t="n"/>
      <c r="K195" s="32" t="n"/>
      <c r="L195" s="32" t="n"/>
      <c r="M195" s="32" t="n"/>
      <c r="N195" s="32" t="n"/>
      <c r="O195" s="32" t="n"/>
      <c r="P195" s="32" t="n"/>
      <c r="Q195" s="32" t="n"/>
      <c r="R195" s="32" t="n"/>
      <c r="S195" s="32" t="n"/>
      <c r="T195" s="32" t="n"/>
      <c r="U195" s="32" t="n"/>
    </row>
    <row r="196" ht="14.25" customHeight="1" s="114">
      <c r="A196" s="97" t="n"/>
      <c r="B196" s="97" t="n"/>
      <c r="C196" s="98" t="n"/>
      <c r="D196" s="98" t="n"/>
      <c r="E196" s="97" t="n"/>
      <c r="F196" s="98" t="n"/>
      <c r="K196" s="32" t="n"/>
      <c r="L196" s="32" t="n"/>
      <c r="M196" s="32" t="n"/>
      <c r="N196" s="32" t="n"/>
      <c r="O196" s="32" t="n"/>
      <c r="P196" s="32" t="n"/>
      <c r="Q196" s="32" t="n"/>
      <c r="R196" s="32" t="n"/>
      <c r="S196" s="32" t="n"/>
      <c r="T196" s="32" t="n"/>
      <c r="U196" s="32" t="n"/>
    </row>
    <row r="197" ht="14.25" customHeight="1" s="114">
      <c r="A197" s="97" t="n"/>
      <c r="B197" s="97" t="n"/>
      <c r="C197" s="98" t="n"/>
      <c r="D197" s="98" t="n"/>
      <c r="E197" s="97" t="n"/>
      <c r="F197" s="98" t="n"/>
      <c r="K197" s="32" t="n"/>
      <c r="L197" s="32" t="n"/>
      <c r="M197" s="32" t="n"/>
      <c r="N197" s="32" t="n"/>
      <c r="O197" s="32" t="n"/>
      <c r="P197" s="32" t="n"/>
      <c r="Q197" s="32" t="n"/>
      <c r="R197" s="32" t="n"/>
      <c r="S197" s="32" t="n"/>
      <c r="T197" s="32" t="n"/>
      <c r="U197" s="32" t="n"/>
    </row>
    <row r="198" ht="14.25" customHeight="1" s="114">
      <c r="A198" s="97" t="n"/>
      <c r="B198" s="97" t="n"/>
      <c r="C198" s="98" t="n"/>
      <c r="D198" s="98" t="n"/>
      <c r="E198" s="97" t="n"/>
      <c r="F198" s="98" t="n"/>
      <c r="K198" s="32" t="n"/>
      <c r="L198" s="32" t="n"/>
      <c r="M198" s="32" t="n"/>
      <c r="N198" s="32" t="n"/>
      <c r="O198" s="32" t="n"/>
      <c r="P198" s="32" t="n"/>
      <c r="Q198" s="32" t="n"/>
      <c r="R198" s="32" t="n"/>
      <c r="S198" s="32" t="n"/>
      <c r="T198" s="32" t="n"/>
      <c r="U198" s="32" t="n"/>
    </row>
    <row r="199" ht="14.25" customHeight="1" s="114">
      <c r="A199" s="97" t="n"/>
      <c r="B199" s="97" t="n"/>
      <c r="C199" s="98" t="n"/>
      <c r="D199" s="98" t="n"/>
      <c r="E199" s="97" t="n"/>
      <c r="F199" s="98" t="n"/>
      <c r="K199" s="32" t="n"/>
      <c r="L199" s="32" t="n"/>
      <c r="M199" s="32" t="n"/>
      <c r="N199" s="32" t="n"/>
      <c r="O199" s="32" t="n"/>
      <c r="P199" s="32" t="n"/>
      <c r="Q199" s="32" t="n"/>
      <c r="R199" s="32" t="n"/>
      <c r="S199" s="32" t="n"/>
      <c r="T199" s="32" t="n"/>
      <c r="U199" s="32" t="n"/>
    </row>
    <row r="200" ht="14.25" customHeight="1" s="114">
      <c r="A200" s="97" t="n"/>
      <c r="B200" s="97" t="n"/>
      <c r="C200" s="98" t="n"/>
      <c r="D200" s="98" t="n"/>
      <c r="E200" s="97" t="n"/>
      <c r="F200" s="98" t="n"/>
      <c r="K200" s="32" t="n"/>
      <c r="L200" s="32" t="n"/>
      <c r="M200" s="32" t="n"/>
      <c r="N200" s="32" t="n"/>
      <c r="O200" s="32" t="n"/>
      <c r="P200" s="32" t="n"/>
      <c r="Q200" s="32" t="n"/>
      <c r="R200" s="32" t="n"/>
      <c r="S200" s="32" t="n"/>
      <c r="T200" s="32" t="n"/>
      <c r="U200" s="32" t="n"/>
    </row>
    <row r="201" ht="14.25" customHeight="1" s="114">
      <c r="A201" s="97" t="n"/>
      <c r="B201" s="97" t="n"/>
      <c r="C201" s="98" t="n"/>
      <c r="D201" s="98" t="n"/>
      <c r="E201" s="97" t="n"/>
      <c r="F201" s="98" t="n"/>
      <c r="K201" s="32" t="n"/>
      <c r="L201" s="32" t="n"/>
      <c r="M201" s="32" t="n"/>
      <c r="N201" s="32" t="n"/>
      <c r="O201" s="32" t="n"/>
      <c r="P201" s="32" t="n"/>
      <c r="Q201" s="32" t="n"/>
      <c r="R201" s="32" t="n"/>
      <c r="S201" s="32" t="n"/>
      <c r="T201" s="32" t="n"/>
      <c r="U201" s="32" t="n"/>
    </row>
    <row r="202" ht="14.25" customHeight="1" s="114">
      <c r="A202" s="97" t="n"/>
      <c r="B202" s="97" t="n"/>
      <c r="C202" s="98" t="n"/>
      <c r="D202" s="98" t="n"/>
      <c r="E202" s="97" t="n"/>
      <c r="F202" s="98" t="n"/>
      <c r="K202" s="32" t="n"/>
      <c r="L202" s="32" t="n"/>
      <c r="M202" s="32" t="n"/>
      <c r="N202" s="32" t="n"/>
      <c r="O202" s="32" t="n"/>
      <c r="P202" s="32" t="n"/>
      <c r="Q202" s="32" t="n"/>
      <c r="R202" s="32" t="n"/>
      <c r="S202" s="32" t="n"/>
      <c r="T202" s="32" t="n"/>
      <c r="U202" s="32" t="n"/>
    </row>
    <row r="203" ht="14.25" customHeight="1" s="114">
      <c r="A203" s="97" t="n"/>
      <c r="B203" s="97" t="n"/>
      <c r="C203" s="98" t="n"/>
      <c r="D203" s="98" t="n"/>
      <c r="E203" s="97" t="n"/>
      <c r="F203" s="98" t="n"/>
      <c r="K203" s="32" t="n"/>
      <c r="L203" s="32" t="n"/>
      <c r="M203" s="32" t="n"/>
      <c r="N203" s="32" t="n"/>
      <c r="O203" s="32" t="n"/>
      <c r="P203" s="32" t="n"/>
      <c r="Q203" s="32" t="n"/>
      <c r="R203" s="32" t="n"/>
      <c r="S203" s="32" t="n"/>
      <c r="T203" s="32" t="n"/>
      <c r="U203" s="32" t="n"/>
    </row>
    <row r="204" ht="14.25" customHeight="1" s="114">
      <c r="A204" s="97" t="n"/>
      <c r="B204" s="97" t="n"/>
      <c r="C204" s="98" t="n"/>
      <c r="D204" s="98" t="n"/>
      <c r="E204" s="97" t="n"/>
      <c r="F204" s="98" t="n"/>
      <c r="K204" s="32" t="n"/>
      <c r="L204" s="32" t="n"/>
      <c r="M204" s="32" t="n"/>
      <c r="N204" s="32" t="n"/>
      <c r="O204" s="32" t="n"/>
      <c r="P204" s="32" t="n"/>
      <c r="Q204" s="32" t="n"/>
      <c r="R204" s="32" t="n"/>
      <c r="S204" s="32" t="n"/>
      <c r="T204" s="32" t="n"/>
      <c r="U204" s="32" t="n"/>
    </row>
    <row r="205" ht="14.25" customHeight="1" s="114">
      <c r="A205" s="97" t="n"/>
      <c r="B205" s="97" t="n"/>
      <c r="C205" s="98" t="n"/>
      <c r="D205" s="98" t="n"/>
      <c r="E205" s="97" t="n"/>
      <c r="F205" s="98" t="n"/>
      <c r="K205" s="32" t="n"/>
      <c r="L205" s="32" t="n"/>
      <c r="M205" s="32" t="n"/>
      <c r="N205" s="32" t="n"/>
      <c r="O205" s="32" t="n"/>
      <c r="P205" s="32" t="n"/>
      <c r="Q205" s="32" t="n"/>
      <c r="R205" s="32" t="n"/>
      <c r="S205" s="32" t="n"/>
      <c r="T205" s="32" t="n"/>
      <c r="U205" s="32" t="n"/>
    </row>
    <row r="206" ht="14.25" customHeight="1" s="114">
      <c r="A206" s="97" t="n"/>
      <c r="B206" s="97" t="n"/>
      <c r="C206" s="98" t="n"/>
      <c r="D206" s="98" t="n"/>
      <c r="E206" s="97" t="n"/>
      <c r="F206" s="98" t="n"/>
      <c r="K206" s="32" t="n"/>
      <c r="L206" s="32" t="n"/>
      <c r="M206" s="32" t="n"/>
      <c r="N206" s="32" t="n"/>
      <c r="O206" s="32" t="n"/>
      <c r="P206" s="32" t="n"/>
      <c r="Q206" s="32" t="n"/>
      <c r="R206" s="32" t="n"/>
      <c r="S206" s="32" t="n"/>
      <c r="T206" s="32" t="n"/>
      <c r="U206" s="32" t="n"/>
    </row>
    <row r="207" ht="14.25" customHeight="1" s="114">
      <c r="A207" s="97" t="n"/>
      <c r="B207" s="97" t="n"/>
      <c r="C207" s="98" t="n"/>
      <c r="D207" s="98" t="n"/>
      <c r="E207" s="97" t="n"/>
      <c r="F207" s="98" t="n"/>
      <c r="K207" s="32" t="n"/>
      <c r="L207" s="32" t="n"/>
      <c r="M207" s="32" t="n"/>
      <c r="N207" s="32" t="n"/>
      <c r="O207" s="32" t="n"/>
      <c r="P207" s="32" t="n"/>
      <c r="Q207" s="32" t="n"/>
      <c r="R207" s="32" t="n"/>
      <c r="S207" s="32" t="n"/>
      <c r="T207" s="32" t="n"/>
      <c r="U207" s="32" t="n"/>
    </row>
    <row r="208" ht="14.25" customHeight="1" s="114">
      <c r="A208" s="97" t="n"/>
      <c r="B208" s="97" t="n"/>
      <c r="C208" s="98" t="n"/>
      <c r="D208" s="98" t="n"/>
      <c r="E208" s="97" t="n"/>
      <c r="F208" s="98" t="n"/>
      <c r="K208" s="32" t="n"/>
      <c r="L208" s="32" t="n"/>
      <c r="M208" s="32" t="n"/>
      <c r="N208" s="32" t="n"/>
      <c r="O208" s="32" t="n"/>
      <c r="P208" s="32" t="n"/>
      <c r="Q208" s="32" t="n"/>
      <c r="R208" s="32" t="n"/>
      <c r="S208" s="32" t="n"/>
      <c r="T208" s="32" t="n"/>
      <c r="U208" s="32" t="n"/>
    </row>
    <row r="209" ht="14.25" customHeight="1" s="114">
      <c r="A209" s="97" t="n"/>
      <c r="B209" s="97" t="n"/>
      <c r="C209" s="98" t="n"/>
      <c r="D209" s="98" t="n"/>
      <c r="E209" s="97" t="n"/>
      <c r="F209" s="98" t="n"/>
      <c r="K209" s="32" t="n"/>
      <c r="L209" s="32" t="n"/>
      <c r="M209" s="32" t="n"/>
      <c r="N209" s="32" t="n"/>
      <c r="O209" s="32" t="n"/>
      <c r="P209" s="32" t="n"/>
      <c r="Q209" s="32" t="n"/>
      <c r="R209" s="32" t="n"/>
      <c r="S209" s="32" t="n"/>
      <c r="T209" s="32" t="n"/>
      <c r="U209" s="32" t="n"/>
    </row>
    <row r="210" ht="14.25" customHeight="1" s="114">
      <c r="A210" s="97" t="n"/>
      <c r="B210" s="97" t="n"/>
      <c r="C210" s="98" t="n"/>
      <c r="D210" s="98" t="n"/>
      <c r="E210" s="97" t="n"/>
      <c r="F210" s="98" t="n"/>
      <c r="K210" s="32" t="n"/>
      <c r="L210" s="32" t="n"/>
      <c r="M210" s="32" t="n"/>
      <c r="N210" s="32" t="n"/>
      <c r="O210" s="32" t="n"/>
      <c r="P210" s="32" t="n"/>
      <c r="Q210" s="32" t="n"/>
      <c r="R210" s="32" t="n"/>
      <c r="S210" s="32" t="n"/>
      <c r="T210" s="32" t="n"/>
      <c r="U210" s="32" t="n"/>
    </row>
    <row r="211" ht="14.25" customHeight="1" s="114">
      <c r="A211" s="97" t="n"/>
      <c r="B211" s="97" t="n"/>
      <c r="C211" s="98" t="n"/>
      <c r="D211" s="98" t="n"/>
      <c r="E211" s="97" t="n"/>
      <c r="F211" s="98" t="n"/>
      <c r="K211" s="32" t="n"/>
      <c r="L211" s="32" t="n"/>
      <c r="M211" s="32" t="n"/>
      <c r="N211" s="32" t="n"/>
      <c r="O211" s="32" t="n"/>
      <c r="P211" s="32" t="n"/>
      <c r="Q211" s="32" t="n"/>
      <c r="R211" s="32" t="n"/>
      <c r="S211" s="32" t="n"/>
      <c r="T211" s="32" t="n"/>
      <c r="U211" s="32" t="n"/>
    </row>
    <row r="212" ht="14.25" customHeight="1" s="114">
      <c r="A212" s="97" t="n"/>
      <c r="B212" s="97" t="n"/>
      <c r="C212" s="98" t="n"/>
      <c r="D212" s="98" t="n"/>
      <c r="E212" s="97" t="n"/>
      <c r="F212" s="98" t="n"/>
      <c r="K212" s="32" t="n"/>
      <c r="L212" s="32" t="n"/>
      <c r="M212" s="32" t="n"/>
      <c r="N212" s="32" t="n"/>
      <c r="O212" s="32" t="n"/>
      <c r="P212" s="32" t="n"/>
      <c r="Q212" s="32" t="n"/>
      <c r="R212" s="32" t="n"/>
      <c r="S212" s="32" t="n"/>
      <c r="T212" s="32" t="n"/>
      <c r="U212" s="32" t="n"/>
    </row>
    <row r="213" ht="14.25" customHeight="1" s="114">
      <c r="A213" s="97" t="n"/>
      <c r="B213" s="97" t="n"/>
      <c r="C213" s="98" t="n"/>
      <c r="D213" s="98" t="n"/>
      <c r="E213" s="97" t="n"/>
      <c r="F213" s="98" t="n"/>
      <c r="K213" s="32" t="n"/>
      <c r="L213" s="32" t="n"/>
      <c r="M213" s="32" t="n"/>
      <c r="N213" s="32" t="n"/>
      <c r="O213" s="32" t="n"/>
      <c r="P213" s="32" t="n"/>
      <c r="Q213" s="32" t="n"/>
      <c r="R213" s="32" t="n"/>
      <c r="S213" s="32" t="n"/>
      <c r="T213" s="32" t="n"/>
      <c r="U213" s="32" t="n"/>
    </row>
    <row r="214" ht="14.25" customHeight="1" s="114">
      <c r="A214" s="97" t="n"/>
      <c r="B214" s="97" t="n"/>
      <c r="C214" s="98" t="n"/>
      <c r="D214" s="98" t="n"/>
      <c r="E214" s="97" t="n"/>
      <c r="F214" s="98" t="n"/>
      <c r="K214" s="32" t="n"/>
      <c r="L214" s="32" t="n"/>
      <c r="M214" s="32" t="n"/>
      <c r="N214" s="32" t="n"/>
      <c r="O214" s="32" t="n"/>
      <c r="P214" s="32" t="n"/>
      <c r="Q214" s="32" t="n"/>
      <c r="R214" s="32" t="n"/>
      <c r="S214" s="32" t="n"/>
      <c r="T214" s="32" t="n"/>
      <c r="U214" s="32" t="n"/>
    </row>
    <row r="215" ht="14.25" customHeight="1" s="114">
      <c r="A215" s="97" t="n"/>
      <c r="B215" s="97" t="n"/>
      <c r="C215" s="98" t="n"/>
      <c r="D215" s="98" t="n"/>
      <c r="E215" s="97" t="n"/>
      <c r="F215" s="98" t="n"/>
      <c r="K215" s="32" t="n"/>
      <c r="L215" s="32" t="n"/>
      <c r="M215" s="32" t="n"/>
      <c r="N215" s="32" t="n"/>
      <c r="O215" s="32" t="n"/>
      <c r="P215" s="32" t="n"/>
      <c r="Q215" s="32" t="n"/>
      <c r="R215" s="32" t="n"/>
      <c r="S215" s="32" t="n"/>
      <c r="T215" s="32" t="n"/>
      <c r="U215" s="32" t="n"/>
    </row>
    <row r="216" ht="14.25" customHeight="1" s="114">
      <c r="A216" s="97" t="n"/>
      <c r="B216" s="97" t="n"/>
      <c r="C216" s="98" t="n"/>
      <c r="D216" s="98" t="n"/>
      <c r="E216" s="97" t="n"/>
      <c r="F216" s="98" t="n"/>
      <c r="K216" s="32" t="n"/>
      <c r="L216" s="32" t="n"/>
      <c r="M216" s="32" t="n"/>
      <c r="N216" s="32" t="n"/>
      <c r="O216" s="32" t="n"/>
      <c r="P216" s="32" t="n"/>
      <c r="Q216" s="32" t="n"/>
      <c r="R216" s="32" t="n"/>
      <c r="S216" s="32" t="n"/>
      <c r="T216" s="32" t="n"/>
      <c r="U216" s="32" t="n"/>
    </row>
    <row r="217" ht="14.25" customHeight="1" s="114">
      <c r="A217" s="97" t="n"/>
      <c r="B217" s="97" t="n"/>
      <c r="C217" s="98" t="n"/>
      <c r="D217" s="98" t="n"/>
      <c r="E217" s="97" t="n"/>
      <c r="F217" s="98" t="n"/>
      <c r="K217" s="32" t="n"/>
      <c r="L217" s="32" t="n"/>
      <c r="M217" s="32" t="n"/>
      <c r="N217" s="32" t="n"/>
      <c r="O217" s="32" t="n"/>
      <c r="P217" s="32" t="n"/>
      <c r="Q217" s="32" t="n"/>
      <c r="R217" s="32" t="n"/>
      <c r="S217" s="32" t="n"/>
      <c r="T217" s="32" t="n"/>
      <c r="U217" s="32" t="n"/>
    </row>
    <row r="218" ht="14.25" customHeight="1" s="114">
      <c r="A218" s="97" t="n"/>
      <c r="B218" s="97" t="n"/>
      <c r="C218" s="98" t="n"/>
      <c r="D218" s="98" t="n"/>
      <c r="E218" s="97" t="n"/>
      <c r="F218" s="98" t="n"/>
      <c r="K218" s="32" t="n"/>
      <c r="L218" s="32" t="n"/>
      <c r="M218" s="32" t="n"/>
      <c r="N218" s="32" t="n"/>
      <c r="O218" s="32" t="n"/>
      <c r="P218" s="32" t="n"/>
      <c r="Q218" s="32" t="n"/>
      <c r="R218" s="32" t="n"/>
      <c r="S218" s="32" t="n"/>
      <c r="T218" s="32" t="n"/>
      <c r="U218" s="32" t="n"/>
    </row>
    <row r="219" ht="14.25" customHeight="1" s="114">
      <c r="A219" s="97" t="n"/>
      <c r="B219" s="97" t="n"/>
      <c r="C219" s="98" t="n"/>
      <c r="D219" s="98" t="n"/>
      <c r="E219" s="97" t="n"/>
      <c r="F219" s="98" t="n"/>
      <c r="K219" s="32" t="n"/>
      <c r="L219" s="32" t="n"/>
      <c r="M219" s="32" t="n"/>
      <c r="N219" s="32" t="n"/>
      <c r="O219" s="32" t="n"/>
      <c r="P219" s="32" t="n"/>
      <c r="Q219" s="32" t="n"/>
      <c r="R219" s="32" t="n"/>
      <c r="S219" s="32" t="n"/>
      <c r="T219" s="32" t="n"/>
      <c r="U219" s="32" t="n"/>
    </row>
    <row r="220" ht="14.25" customHeight="1" s="114">
      <c r="A220" s="97" t="n"/>
      <c r="B220" s="97" t="n"/>
      <c r="C220" s="98" t="n"/>
      <c r="D220" s="98" t="n"/>
      <c r="E220" s="97" t="n"/>
      <c r="F220" s="98" t="n"/>
      <c r="K220" s="32" t="n"/>
      <c r="L220" s="32" t="n"/>
      <c r="M220" s="32" t="n"/>
      <c r="N220" s="32" t="n"/>
      <c r="O220" s="32" t="n"/>
      <c r="P220" s="32" t="n"/>
      <c r="Q220" s="32" t="n"/>
      <c r="R220" s="32" t="n"/>
      <c r="S220" s="32" t="n"/>
      <c r="T220" s="32" t="n"/>
      <c r="U220" s="32" t="n"/>
    </row>
    <row r="221" ht="14.25" customHeight="1" s="114">
      <c r="A221" s="97" t="n"/>
      <c r="B221" s="97" t="n"/>
      <c r="C221" s="98" t="n"/>
      <c r="D221" s="98" t="n"/>
      <c r="E221" s="97" t="n"/>
      <c r="F221" s="98" t="n"/>
      <c r="K221" s="32" t="n"/>
      <c r="L221" s="32" t="n"/>
      <c r="M221" s="32" t="n"/>
      <c r="N221" s="32" t="n"/>
      <c r="O221" s="32" t="n"/>
      <c r="P221" s="32" t="n"/>
      <c r="Q221" s="32" t="n"/>
      <c r="R221" s="32" t="n"/>
      <c r="S221" s="32" t="n"/>
      <c r="T221" s="32" t="n"/>
      <c r="U221" s="32" t="n"/>
    </row>
    <row r="222" ht="14.25" customHeight="1" s="114">
      <c r="A222" s="97" t="n"/>
      <c r="B222" s="97" t="n"/>
      <c r="C222" s="98" t="n"/>
      <c r="D222" s="98" t="n"/>
      <c r="E222" s="97" t="n"/>
      <c r="F222" s="98" t="n"/>
      <c r="K222" s="32" t="n"/>
      <c r="L222" s="32" t="n"/>
      <c r="M222" s="32" t="n"/>
      <c r="N222" s="32" t="n"/>
      <c r="O222" s="32" t="n"/>
      <c r="P222" s="32" t="n"/>
      <c r="Q222" s="32" t="n"/>
      <c r="R222" s="32" t="n"/>
      <c r="S222" s="32" t="n"/>
      <c r="T222" s="32" t="n"/>
      <c r="U222" s="32" t="n"/>
    </row>
    <row r="223" ht="14.25" customHeight="1" s="114">
      <c r="A223" s="97" t="n"/>
      <c r="B223" s="97" t="n"/>
      <c r="C223" s="98" t="n"/>
      <c r="D223" s="98" t="n"/>
      <c r="E223" s="97" t="n"/>
      <c r="F223" s="98" t="n"/>
      <c r="K223" s="32" t="n"/>
      <c r="L223" s="32" t="n"/>
      <c r="M223" s="32" t="n"/>
      <c r="N223" s="32" t="n"/>
      <c r="O223" s="32" t="n"/>
      <c r="P223" s="32" t="n"/>
      <c r="Q223" s="32" t="n"/>
      <c r="R223" s="32" t="n"/>
      <c r="S223" s="32" t="n"/>
      <c r="T223" s="32" t="n"/>
      <c r="U223" s="32" t="n"/>
    </row>
    <row r="224" ht="14.25" customHeight="1" s="114">
      <c r="A224" s="97" t="n"/>
      <c r="B224" s="97" t="n"/>
      <c r="C224" s="98" t="n"/>
      <c r="D224" s="98" t="n"/>
      <c r="E224" s="97" t="n"/>
      <c r="F224" s="98" t="n"/>
      <c r="K224" s="32" t="n"/>
      <c r="L224" s="32" t="n"/>
      <c r="M224" s="32" t="n"/>
      <c r="N224" s="32" t="n"/>
      <c r="O224" s="32" t="n"/>
      <c r="P224" s="32" t="n"/>
      <c r="Q224" s="32" t="n"/>
      <c r="R224" s="32" t="n"/>
      <c r="S224" s="32" t="n"/>
      <c r="T224" s="32" t="n"/>
      <c r="U224" s="32" t="n"/>
    </row>
    <row r="225" ht="14.25" customHeight="1" s="114">
      <c r="A225" s="97" t="n"/>
      <c r="B225" s="97" t="n"/>
      <c r="C225" s="98" t="n"/>
      <c r="D225" s="98" t="n"/>
      <c r="E225" s="97" t="n"/>
      <c r="F225" s="98" t="n"/>
      <c r="K225" s="32" t="n"/>
      <c r="L225" s="32" t="n"/>
      <c r="M225" s="32" t="n"/>
      <c r="N225" s="32" t="n"/>
      <c r="O225" s="32" t="n"/>
      <c r="P225" s="32" t="n"/>
      <c r="Q225" s="32" t="n"/>
      <c r="R225" s="32" t="n"/>
      <c r="S225" s="32" t="n"/>
      <c r="T225" s="32" t="n"/>
      <c r="U225" s="32" t="n"/>
    </row>
    <row r="226" ht="14.25" customHeight="1" s="114">
      <c r="A226" s="97" t="n"/>
      <c r="B226" s="97" t="n"/>
      <c r="C226" s="98" t="n"/>
      <c r="D226" s="98" t="n"/>
      <c r="E226" s="97" t="n"/>
      <c r="F226" s="98" t="n"/>
      <c r="K226" s="32" t="n"/>
      <c r="L226" s="32" t="n"/>
      <c r="M226" s="32" t="n"/>
      <c r="N226" s="32" t="n"/>
      <c r="O226" s="32" t="n"/>
      <c r="P226" s="32" t="n"/>
      <c r="Q226" s="32" t="n"/>
      <c r="R226" s="32" t="n"/>
      <c r="S226" s="32" t="n"/>
      <c r="T226" s="32" t="n"/>
      <c r="U226" s="32" t="n"/>
    </row>
    <row r="227" ht="14.25" customHeight="1" s="114">
      <c r="A227" s="97" t="n"/>
      <c r="B227" s="97" t="n"/>
      <c r="C227" s="98" t="n"/>
      <c r="D227" s="98" t="n"/>
      <c r="E227" s="97" t="n"/>
      <c r="F227" s="98" t="n"/>
      <c r="K227" s="32" t="n"/>
      <c r="L227" s="32" t="n"/>
      <c r="M227" s="32" t="n"/>
      <c r="N227" s="32" t="n"/>
      <c r="O227" s="32" t="n"/>
      <c r="P227" s="32" t="n"/>
      <c r="Q227" s="32" t="n"/>
      <c r="R227" s="32" t="n"/>
      <c r="S227" s="32" t="n"/>
      <c r="T227" s="32" t="n"/>
      <c r="U227" s="32" t="n"/>
    </row>
    <row r="228" ht="14.25" customHeight="1" s="114">
      <c r="A228" s="97" t="n"/>
      <c r="B228" s="97" t="n"/>
      <c r="C228" s="98" t="n"/>
      <c r="D228" s="98" t="n"/>
      <c r="E228" s="97" t="n"/>
      <c r="F228" s="98" t="n"/>
      <c r="K228" s="32" t="n"/>
      <c r="L228" s="32" t="n"/>
      <c r="M228" s="32" t="n"/>
      <c r="N228" s="32" t="n"/>
      <c r="O228" s="32" t="n"/>
      <c r="P228" s="32" t="n"/>
      <c r="Q228" s="32" t="n"/>
      <c r="R228" s="32" t="n"/>
      <c r="S228" s="32" t="n"/>
      <c r="T228" s="32" t="n"/>
      <c r="U228" s="32" t="n"/>
    </row>
    <row r="229" ht="14.25" customHeight="1" s="114">
      <c r="A229" s="97" t="n"/>
      <c r="B229" s="97" t="n"/>
      <c r="C229" s="98" t="n"/>
      <c r="D229" s="98" t="n"/>
      <c r="E229" s="97" t="n"/>
      <c r="F229" s="98" t="n"/>
      <c r="K229" s="32" t="n"/>
      <c r="L229" s="32" t="n"/>
      <c r="M229" s="32" t="n"/>
      <c r="N229" s="32" t="n"/>
      <c r="O229" s="32" t="n"/>
      <c r="P229" s="32" t="n"/>
      <c r="Q229" s="32" t="n"/>
      <c r="R229" s="32" t="n"/>
      <c r="S229" s="32" t="n"/>
      <c r="T229" s="32" t="n"/>
      <c r="U229" s="32" t="n"/>
    </row>
    <row r="230" ht="14.25" customHeight="1" s="114">
      <c r="A230" s="97" t="n"/>
      <c r="B230" s="97" t="n"/>
      <c r="C230" s="98" t="n"/>
      <c r="D230" s="98" t="n"/>
      <c r="E230" s="97" t="n"/>
      <c r="F230" s="98" t="n"/>
      <c r="K230" s="32" t="n"/>
      <c r="L230" s="32" t="n"/>
      <c r="M230" s="32" t="n"/>
      <c r="N230" s="32" t="n"/>
      <c r="O230" s="32" t="n"/>
      <c r="P230" s="32" t="n"/>
      <c r="Q230" s="32" t="n"/>
      <c r="R230" s="32" t="n"/>
      <c r="S230" s="32" t="n"/>
      <c r="T230" s="32" t="n"/>
      <c r="U230" s="32" t="n"/>
    </row>
    <row r="231" ht="14.25" customHeight="1" s="114">
      <c r="A231" s="97" t="n"/>
      <c r="B231" s="97" t="n"/>
      <c r="C231" s="98" t="n"/>
      <c r="D231" s="98" t="n"/>
      <c r="E231" s="97" t="n"/>
      <c r="F231" s="98" t="n"/>
      <c r="K231" s="32" t="n"/>
      <c r="L231" s="32" t="n"/>
      <c r="M231" s="32" t="n"/>
      <c r="N231" s="32" t="n"/>
      <c r="O231" s="32" t="n"/>
      <c r="P231" s="32" t="n"/>
      <c r="Q231" s="32" t="n"/>
      <c r="R231" s="32" t="n"/>
      <c r="S231" s="32" t="n"/>
      <c r="T231" s="32" t="n"/>
      <c r="U231" s="32" t="n"/>
    </row>
    <row r="232" ht="14.25" customHeight="1" s="114">
      <c r="A232" s="97" t="n"/>
      <c r="B232" s="97" t="n"/>
      <c r="C232" s="98" t="n"/>
      <c r="D232" s="98" t="n"/>
      <c r="E232" s="97" t="n"/>
      <c r="F232" s="98" t="n"/>
      <c r="K232" s="32" t="n"/>
      <c r="L232" s="32" t="n"/>
      <c r="M232" s="32" t="n"/>
      <c r="N232" s="32" t="n"/>
      <c r="O232" s="32" t="n"/>
      <c r="P232" s="32" t="n"/>
      <c r="Q232" s="32" t="n"/>
      <c r="R232" s="32" t="n"/>
      <c r="S232" s="32" t="n"/>
      <c r="T232" s="32" t="n"/>
      <c r="U232" s="32" t="n"/>
    </row>
    <row r="233" ht="14.25" customHeight="1" s="114">
      <c r="A233" s="97" t="n"/>
      <c r="B233" s="97" t="n"/>
      <c r="C233" s="98" t="n"/>
      <c r="D233" s="98" t="n"/>
      <c r="E233" s="97" t="n"/>
      <c r="F233" s="98" t="n"/>
      <c r="K233" s="32" t="n"/>
      <c r="L233" s="32" t="n"/>
      <c r="M233" s="32" t="n"/>
      <c r="N233" s="32" t="n"/>
      <c r="O233" s="32" t="n"/>
      <c r="P233" s="32" t="n"/>
      <c r="Q233" s="32" t="n"/>
      <c r="R233" s="32" t="n"/>
      <c r="S233" s="32" t="n"/>
      <c r="T233" s="32" t="n"/>
      <c r="U233" s="32" t="n"/>
    </row>
    <row r="234" ht="14.25" customHeight="1" s="114">
      <c r="A234" s="97" t="n"/>
      <c r="B234" s="97" t="n"/>
      <c r="C234" s="98" t="n"/>
      <c r="D234" s="98" t="n"/>
      <c r="E234" s="97" t="n"/>
      <c r="F234" s="98" t="n"/>
      <c r="K234" s="32" t="n"/>
      <c r="L234" s="32" t="n"/>
      <c r="M234" s="32" t="n"/>
      <c r="N234" s="32" t="n"/>
      <c r="O234" s="32" t="n"/>
      <c r="P234" s="32" t="n"/>
      <c r="Q234" s="32" t="n"/>
      <c r="R234" s="32" t="n"/>
      <c r="S234" s="32" t="n"/>
      <c r="T234" s="32" t="n"/>
      <c r="U234" s="32" t="n"/>
    </row>
    <row r="235" ht="14.25" customHeight="1" s="114">
      <c r="A235" s="97" t="n"/>
      <c r="B235" s="97" t="n"/>
      <c r="C235" s="98" t="n"/>
      <c r="D235" s="98" t="n"/>
      <c r="E235" s="97" t="n"/>
      <c r="F235" s="98" t="n"/>
      <c r="K235" s="32" t="n"/>
      <c r="L235" s="32" t="n"/>
      <c r="M235" s="32" t="n"/>
      <c r="N235" s="32" t="n"/>
      <c r="O235" s="32" t="n"/>
      <c r="P235" s="32" t="n"/>
      <c r="Q235" s="32" t="n"/>
      <c r="R235" s="32" t="n"/>
      <c r="S235" s="32" t="n"/>
      <c r="T235" s="32" t="n"/>
      <c r="U235" s="32" t="n"/>
    </row>
    <row r="236" ht="14.25" customHeight="1" s="114">
      <c r="A236" s="97" t="n"/>
      <c r="B236" s="97" t="n"/>
      <c r="C236" s="98" t="n"/>
      <c r="D236" s="98" t="n"/>
      <c r="E236" s="97" t="n"/>
      <c r="F236" s="98" t="n"/>
      <c r="K236" s="32" t="n"/>
      <c r="L236" s="32" t="n"/>
      <c r="M236" s="32" t="n"/>
      <c r="N236" s="32" t="n"/>
      <c r="O236" s="32" t="n"/>
      <c r="P236" s="32" t="n"/>
      <c r="Q236" s="32" t="n"/>
      <c r="R236" s="32" t="n"/>
      <c r="S236" s="32" t="n"/>
      <c r="T236" s="32" t="n"/>
      <c r="U236" s="32" t="n"/>
    </row>
    <row r="237" ht="14.25" customHeight="1" s="114">
      <c r="A237" s="97" t="n"/>
      <c r="B237" s="97" t="n"/>
      <c r="C237" s="98" t="n"/>
      <c r="D237" s="98" t="n"/>
      <c r="E237" s="97" t="n"/>
      <c r="F237" s="98" t="n"/>
      <c r="K237" s="32" t="n"/>
      <c r="L237" s="32" t="n"/>
      <c r="M237" s="32" t="n"/>
      <c r="N237" s="32" t="n"/>
      <c r="O237" s="32" t="n"/>
      <c r="P237" s="32" t="n"/>
      <c r="Q237" s="32" t="n"/>
      <c r="R237" s="32" t="n"/>
      <c r="S237" s="32" t="n"/>
      <c r="T237" s="32" t="n"/>
      <c r="U237" s="32" t="n"/>
    </row>
    <row r="238" ht="14.25" customHeight="1" s="114">
      <c r="A238" s="97" t="n"/>
      <c r="B238" s="97" t="n"/>
      <c r="C238" s="98" t="n"/>
      <c r="D238" s="98" t="n"/>
      <c r="E238" s="97" t="n"/>
      <c r="F238" s="98" t="n"/>
      <c r="K238" s="32" t="n"/>
      <c r="L238" s="32" t="n"/>
      <c r="M238" s="32" t="n"/>
      <c r="N238" s="32" t="n"/>
      <c r="O238" s="32" t="n"/>
      <c r="P238" s="32" t="n"/>
      <c r="Q238" s="32" t="n"/>
      <c r="R238" s="32" t="n"/>
      <c r="S238" s="32" t="n"/>
      <c r="T238" s="32" t="n"/>
      <c r="U238" s="32" t="n"/>
    </row>
    <row r="239" ht="14.25" customHeight="1" s="114">
      <c r="A239" s="97" t="n"/>
      <c r="B239" s="97" t="n"/>
      <c r="C239" s="98" t="n"/>
      <c r="D239" s="98" t="n"/>
      <c r="E239" s="97" t="n"/>
      <c r="F239" s="98" t="n"/>
      <c r="K239" s="32" t="n"/>
      <c r="L239" s="32" t="n"/>
      <c r="M239" s="32" t="n"/>
      <c r="N239" s="32" t="n"/>
      <c r="O239" s="32" t="n"/>
      <c r="P239" s="32" t="n"/>
      <c r="Q239" s="32" t="n"/>
      <c r="R239" s="32" t="n"/>
      <c r="S239" s="32" t="n"/>
      <c r="T239" s="32" t="n"/>
      <c r="U239" s="32" t="n"/>
    </row>
    <row r="240" ht="14.25" customHeight="1" s="114">
      <c r="A240" s="97" t="n"/>
      <c r="B240" s="97" t="n"/>
      <c r="C240" s="98" t="n"/>
      <c r="D240" s="98" t="n"/>
      <c r="E240" s="97" t="n"/>
      <c r="F240" s="98" t="n"/>
      <c r="K240" s="32" t="n"/>
      <c r="L240" s="32" t="n"/>
      <c r="M240" s="32" t="n"/>
      <c r="N240" s="32" t="n"/>
      <c r="O240" s="32" t="n"/>
      <c r="P240" s="32" t="n"/>
      <c r="Q240" s="32" t="n"/>
      <c r="R240" s="32" t="n"/>
      <c r="S240" s="32" t="n"/>
      <c r="T240" s="32" t="n"/>
      <c r="U240" s="32" t="n"/>
    </row>
    <row r="241" ht="14.25" customHeight="1" s="114">
      <c r="A241" s="97" t="n"/>
      <c r="B241" s="97" t="n"/>
      <c r="C241" s="98" t="n"/>
      <c r="D241" s="98" t="n"/>
      <c r="E241" s="97" t="n"/>
      <c r="F241" s="98" t="n"/>
      <c r="K241" s="32" t="n"/>
      <c r="L241" s="32" t="n"/>
      <c r="M241" s="32" t="n"/>
      <c r="N241" s="32" t="n"/>
      <c r="O241" s="32" t="n"/>
      <c r="P241" s="32" t="n"/>
      <c r="Q241" s="32" t="n"/>
      <c r="R241" s="32" t="n"/>
      <c r="S241" s="32" t="n"/>
      <c r="T241" s="32" t="n"/>
      <c r="U241" s="32" t="n"/>
    </row>
    <row r="242" ht="14.25" customHeight="1" s="114">
      <c r="A242" s="97" t="n"/>
      <c r="B242" s="97" t="n"/>
      <c r="C242" s="98" t="n"/>
      <c r="D242" s="98" t="n"/>
      <c r="E242" s="97" t="n"/>
      <c r="F242" s="98" t="n"/>
      <c r="K242" s="32" t="n"/>
      <c r="L242" s="32" t="n"/>
      <c r="M242" s="32" t="n"/>
      <c r="N242" s="32" t="n"/>
      <c r="O242" s="32" t="n"/>
      <c r="P242" s="32" t="n"/>
      <c r="Q242" s="32" t="n"/>
      <c r="R242" s="32" t="n"/>
      <c r="S242" s="32" t="n"/>
      <c r="T242" s="32" t="n"/>
      <c r="U242" s="32" t="n"/>
    </row>
    <row r="243" ht="14.25" customHeight="1" s="114">
      <c r="A243" s="97" t="n"/>
      <c r="B243" s="97" t="n"/>
      <c r="C243" s="98" t="n"/>
      <c r="D243" s="98" t="n"/>
      <c r="E243" s="97" t="n"/>
      <c r="F243" s="98" t="n"/>
      <c r="K243" s="32" t="n"/>
      <c r="L243" s="32" t="n"/>
      <c r="M243" s="32" t="n"/>
      <c r="N243" s="32" t="n"/>
      <c r="O243" s="32" t="n"/>
      <c r="P243" s="32" t="n"/>
      <c r="Q243" s="32" t="n"/>
      <c r="R243" s="32" t="n"/>
      <c r="S243" s="32" t="n"/>
      <c r="T243" s="32" t="n"/>
      <c r="U243" s="32" t="n"/>
    </row>
    <row r="244" ht="14.25" customHeight="1" s="114">
      <c r="A244" s="97" t="n"/>
      <c r="B244" s="97" t="n"/>
      <c r="C244" s="98" t="n"/>
      <c r="D244" s="98" t="n"/>
      <c r="E244" s="97" t="n"/>
      <c r="F244" s="98" t="n"/>
      <c r="K244" s="32" t="n"/>
      <c r="L244" s="32" t="n"/>
      <c r="M244" s="32" t="n"/>
      <c r="N244" s="32" t="n"/>
      <c r="O244" s="32" t="n"/>
      <c r="P244" s="32" t="n"/>
      <c r="Q244" s="32" t="n"/>
      <c r="R244" s="32" t="n"/>
      <c r="S244" s="32" t="n"/>
      <c r="T244" s="32" t="n"/>
      <c r="U244" s="32" t="n"/>
    </row>
    <row r="245" ht="14.25" customHeight="1" s="114">
      <c r="A245" s="97" t="n"/>
      <c r="B245" s="97" t="n"/>
      <c r="C245" s="98" t="n"/>
      <c r="D245" s="98" t="n"/>
      <c r="E245" s="97" t="n"/>
      <c r="F245" s="98" t="n"/>
      <c r="K245" s="32" t="n"/>
      <c r="L245" s="32" t="n"/>
      <c r="M245" s="32" t="n"/>
      <c r="N245" s="32" t="n"/>
      <c r="O245" s="32" t="n"/>
      <c r="P245" s="32" t="n"/>
      <c r="Q245" s="32" t="n"/>
      <c r="R245" s="32" t="n"/>
      <c r="S245" s="32" t="n"/>
      <c r="T245" s="32" t="n"/>
      <c r="U245" s="32" t="n"/>
    </row>
    <row r="246" ht="14.25" customHeight="1" s="114">
      <c r="A246" s="97" t="n"/>
      <c r="B246" s="97" t="n"/>
      <c r="C246" s="98" t="n"/>
      <c r="D246" s="98" t="n"/>
      <c r="E246" s="97" t="n"/>
      <c r="F246" s="98" t="n"/>
      <c r="K246" s="32" t="n"/>
      <c r="L246" s="32" t="n"/>
      <c r="M246" s="32" t="n"/>
      <c r="N246" s="32" t="n"/>
      <c r="O246" s="32" t="n"/>
      <c r="P246" s="32" t="n"/>
      <c r="Q246" s="32" t="n"/>
      <c r="R246" s="32" t="n"/>
      <c r="S246" s="32" t="n"/>
      <c r="T246" s="32" t="n"/>
      <c r="U246" s="32" t="n"/>
    </row>
    <row r="247" ht="14.25" customHeight="1" s="114">
      <c r="A247" s="97" t="n"/>
      <c r="B247" s="97" t="n"/>
      <c r="C247" s="98" t="n"/>
      <c r="D247" s="98" t="n"/>
      <c r="E247" s="97" t="n"/>
      <c r="F247" s="98" t="n"/>
      <c r="K247" s="32" t="n"/>
      <c r="L247" s="32" t="n"/>
      <c r="M247" s="32" t="n"/>
      <c r="N247" s="32" t="n"/>
      <c r="O247" s="32" t="n"/>
      <c r="P247" s="32" t="n"/>
      <c r="Q247" s="32" t="n"/>
      <c r="R247" s="32" t="n"/>
      <c r="S247" s="32" t="n"/>
      <c r="T247" s="32" t="n"/>
      <c r="U247" s="32" t="n"/>
    </row>
    <row r="248" ht="14.25" customHeight="1" s="114">
      <c r="A248" s="97" t="n"/>
      <c r="B248" s="97" t="n"/>
      <c r="C248" s="98" t="n"/>
      <c r="D248" s="98" t="n"/>
      <c r="E248" s="97" t="n"/>
      <c r="F248" s="98" t="n"/>
      <c r="K248" s="32" t="n"/>
      <c r="L248" s="32" t="n"/>
      <c r="M248" s="32" t="n"/>
      <c r="N248" s="32" t="n"/>
      <c r="O248" s="32" t="n"/>
      <c r="P248" s="32" t="n"/>
      <c r="Q248" s="32" t="n"/>
      <c r="R248" s="32" t="n"/>
      <c r="S248" s="32" t="n"/>
      <c r="T248" s="32" t="n"/>
      <c r="U248" s="32" t="n"/>
    </row>
    <row r="249" ht="14.25" customHeight="1" s="114">
      <c r="A249" s="97" t="n"/>
      <c r="B249" s="97" t="n"/>
      <c r="C249" s="98" t="n"/>
      <c r="D249" s="98" t="n"/>
      <c r="E249" s="97" t="n"/>
      <c r="F249" s="98" t="n"/>
      <c r="K249" s="32" t="n"/>
      <c r="L249" s="32" t="n"/>
      <c r="M249" s="32" t="n"/>
      <c r="N249" s="32" t="n"/>
      <c r="O249" s="32" t="n"/>
      <c r="P249" s="32" t="n"/>
      <c r="Q249" s="32" t="n"/>
      <c r="R249" s="32" t="n"/>
      <c r="S249" s="32" t="n"/>
      <c r="T249" s="32" t="n"/>
      <c r="U249" s="32" t="n"/>
    </row>
    <row r="250" ht="14.25" customHeight="1" s="114">
      <c r="A250" s="97" t="n"/>
      <c r="B250" s="97" t="n"/>
      <c r="C250" s="98" t="n"/>
      <c r="D250" s="98" t="n"/>
      <c r="E250" s="97" t="n"/>
      <c r="F250" s="98" t="n"/>
      <c r="K250" s="32" t="n"/>
      <c r="L250" s="32" t="n"/>
      <c r="M250" s="32" t="n"/>
      <c r="N250" s="32" t="n"/>
      <c r="O250" s="32" t="n"/>
      <c r="P250" s="32" t="n"/>
      <c r="Q250" s="32" t="n"/>
      <c r="R250" s="32" t="n"/>
      <c r="S250" s="32" t="n"/>
      <c r="T250" s="32" t="n"/>
      <c r="U250" s="32" t="n"/>
    </row>
    <row r="251" ht="14.25" customHeight="1" s="114">
      <c r="A251" s="97" t="n"/>
      <c r="B251" s="97" t="n"/>
      <c r="C251" s="98" t="n"/>
      <c r="D251" s="98" t="n"/>
      <c r="E251" s="97" t="n"/>
      <c r="F251" s="98" t="n"/>
      <c r="K251" s="32" t="n"/>
      <c r="L251" s="32" t="n"/>
      <c r="M251" s="32" t="n"/>
      <c r="N251" s="32" t="n"/>
      <c r="O251" s="32" t="n"/>
      <c r="P251" s="32" t="n"/>
      <c r="Q251" s="32" t="n"/>
      <c r="R251" s="32" t="n"/>
      <c r="S251" s="32" t="n"/>
      <c r="T251" s="32" t="n"/>
      <c r="U251" s="32" t="n"/>
    </row>
    <row r="252" ht="14.25" customHeight="1" s="114">
      <c r="A252" s="97" t="n"/>
      <c r="B252" s="97" t="n"/>
      <c r="C252" s="98" t="n"/>
      <c r="D252" s="98" t="n"/>
      <c r="E252" s="97" t="n"/>
      <c r="F252" s="98" t="n"/>
      <c r="K252" s="32" t="n"/>
      <c r="L252" s="32" t="n"/>
      <c r="M252" s="32" t="n"/>
      <c r="N252" s="32" t="n"/>
      <c r="O252" s="32" t="n"/>
      <c r="P252" s="32" t="n"/>
      <c r="Q252" s="32" t="n"/>
      <c r="R252" s="32" t="n"/>
      <c r="S252" s="32" t="n"/>
      <c r="T252" s="32" t="n"/>
      <c r="U252" s="32" t="n"/>
    </row>
    <row r="253" ht="14.25" customHeight="1" s="114">
      <c r="A253" s="97" t="n"/>
      <c r="B253" s="97" t="n"/>
      <c r="C253" s="98" t="n"/>
      <c r="D253" s="98" t="n"/>
      <c r="E253" s="97" t="n"/>
      <c r="F253" s="98" t="n"/>
      <c r="K253" s="32" t="n"/>
      <c r="L253" s="32" t="n"/>
      <c r="M253" s="32" t="n"/>
      <c r="N253" s="32" t="n"/>
      <c r="O253" s="32" t="n"/>
      <c r="P253" s="32" t="n"/>
      <c r="Q253" s="32" t="n"/>
      <c r="R253" s="32" t="n"/>
      <c r="S253" s="32" t="n"/>
      <c r="T253" s="32" t="n"/>
      <c r="U253" s="32" t="n"/>
    </row>
    <row r="254" ht="14.25" customHeight="1" s="114">
      <c r="A254" s="97" t="n"/>
      <c r="B254" s="97" t="n"/>
      <c r="C254" s="98" t="n"/>
      <c r="D254" s="98" t="n"/>
      <c r="E254" s="97" t="n"/>
      <c r="F254" s="98" t="n"/>
      <c r="K254" s="32" t="n"/>
      <c r="L254" s="32" t="n"/>
      <c r="M254" s="32" t="n"/>
      <c r="N254" s="32" t="n"/>
      <c r="O254" s="32" t="n"/>
      <c r="P254" s="32" t="n"/>
      <c r="Q254" s="32" t="n"/>
      <c r="R254" s="32" t="n"/>
      <c r="S254" s="32" t="n"/>
      <c r="T254" s="32" t="n"/>
      <c r="U254" s="32" t="n"/>
    </row>
    <row r="255" ht="14.25" customHeight="1" s="114">
      <c r="A255" s="97" t="n"/>
      <c r="B255" s="97" t="n"/>
      <c r="C255" s="98" t="n"/>
      <c r="D255" s="98" t="n"/>
      <c r="E255" s="97" t="n"/>
      <c r="F255" s="98" t="n"/>
      <c r="K255" s="32" t="n"/>
      <c r="L255" s="32" t="n"/>
      <c r="M255" s="32" t="n"/>
      <c r="N255" s="32" t="n"/>
      <c r="O255" s="32" t="n"/>
      <c r="P255" s="32" t="n"/>
      <c r="Q255" s="32" t="n"/>
      <c r="R255" s="32" t="n"/>
      <c r="S255" s="32" t="n"/>
      <c r="T255" s="32" t="n"/>
      <c r="U255" s="32" t="n"/>
    </row>
    <row r="256" ht="14.25" customHeight="1" s="114">
      <c r="A256" s="97" t="n"/>
      <c r="B256" s="97" t="n"/>
      <c r="C256" s="98" t="n"/>
      <c r="D256" s="98" t="n"/>
      <c r="E256" s="97" t="n"/>
      <c r="F256" s="98" t="n"/>
      <c r="K256" s="32" t="n"/>
      <c r="L256" s="32" t="n"/>
      <c r="M256" s="32" t="n"/>
      <c r="N256" s="32" t="n"/>
      <c r="O256" s="32" t="n"/>
      <c r="P256" s="32" t="n"/>
      <c r="Q256" s="32" t="n"/>
      <c r="R256" s="32" t="n"/>
      <c r="S256" s="32" t="n"/>
      <c r="T256" s="32" t="n"/>
      <c r="U256" s="32" t="n"/>
    </row>
    <row r="257" ht="14.25" customHeight="1" s="114">
      <c r="A257" s="97" t="n"/>
      <c r="B257" s="97" t="n"/>
      <c r="C257" s="98" t="n"/>
      <c r="D257" s="98" t="n"/>
      <c r="E257" s="97" t="n"/>
      <c r="F257" s="98" t="n"/>
      <c r="K257" s="32" t="n"/>
      <c r="L257" s="32" t="n"/>
      <c r="M257" s="32" t="n"/>
      <c r="N257" s="32" t="n"/>
      <c r="O257" s="32" t="n"/>
      <c r="P257" s="32" t="n"/>
      <c r="Q257" s="32" t="n"/>
      <c r="R257" s="32" t="n"/>
      <c r="S257" s="32" t="n"/>
      <c r="T257" s="32" t="n"/>
      <c r="U257" s="32" t="n"/>
    </row>
    <row r="258" ht="14.25" customHeight="1" s="114">
      <c r="A258" s="97" t="n"/>
      <c r="B258" s="97" t="n"/>
      <c r="C258" s="98" t="n"/>
      <c r="D258" s="98" t="n"/>
      <c r="E258" s="97" t="n"/>
      <c r="F258" s="98" t="n"/>
      <c r="K258" s="32" t="n"/>
      <c r="L258" s="32" t="n"/>
      <c r="M258" s="32" t="n"/>
      <c r="N258" s="32" t="n"/>
      <c r="O258" s="32" t="n"/>
      <c r="P258" s="32" t="n"/>
      <c r="Q258" s="32" t="n"/>
      <c r="R258" s="32" t="n"/>
      <c r="S258" s="32" t="n"/>
      <c r="T258" s="32" t="n"/>
      <c r="U258" s="32" t="n"/>
    </row>
    <row r="259" ht="14.25" customHeight="1" s="114">
      <c r="A259" s="97" t="n"/>
      <c r="B259" s="97" t="n"/>
      <c r="C259" s="98" t="n"/>
      <c r="D259" s="98" t="n"/>
      <c r="E259" s="97" t="n"/>
      <c r="F259" s="98" t="n"/>
      <c r="K259" s="32" t="n"/>
      <c r="L259" s="32" t="n"/>
      <c r="M259" s="32" t="n"/>
      <c r="N259" s="32" t="n"/>
      <c r="O259" s="32" t="n"/>
      <c r="P259" s="32" t="n"/>
      <c r="Q259" s="32" t="n"/>
      <c r="R259" s="32" t="n"/>
      <c r="S259" s="32" t="n"/>
      <c r="T259" s="32" t="n"/>
      <c r="U259" s="32" t="n"/>
    </row>
    <row r="260" ht="14.25" customHeight="1" s="114">
      <c r="A260" s="97" t="n"/>
      <c r="B260" s="97" t="n"/>
      <c r="C260" s="98" t="n"/>
      <c r="D260" s="98" t="n"/>
      <c r="E260" s="97" t="n"/>
      <c r="F260" s="98" t="n"/>
      <c r="K260" s="32" t="n"/>
      <c r="L260" s="32" t="n"/>
      <c r="M260" s="32" t="n"/>
      <c r="N260" s="32" t="n"/>
      <c r="O260" s="32" t="n"/>
      <c r="P260" s="32" t="n"/>
      <c r="Q260" s="32" t="n"/>
      <c r="R260" s="32" t="n"/>
      <c r="S260" s="32" t="n"/>
      <c r="T260" s="32" t="n"/>
      <c r="U260" s="32" t="n"/>
    </row>
    <row r="261" ht="14.25" customHeight="1" s="114">
      <c r="A261" s="97" t="n"/>
      <c r="B261" s="97" t="n"/>
      <c r="C261" s="98" t="n"/>
      <c r="D261" s="98" t="n"/>
      <c r="E261" s="97" t="n"/>
      <c r="F261" s="98" t="n"/>
      <c r="K261" s="32" t="n"/>
      <c r="L261" s="32" t="n"/>
      <c r="M261" s="32" t="n"/>
      <c r="N261" s="32" t="n"/>
      <c r="O261" s="32" t="n"/>
      <c r="P261" s="32" t="n"/>
      <c r="Q261" s="32" t="n"/>
      <c r="R261" s="32" t="n"/>
      <c r="S261" s="32" t="n"/>
      <c r="T261" s="32" t="n"/>
      <c r="U261" s="32" t="n"/>
    </row>
    <row r="262" ht="14.25" customHeight="1" s="114">
      <c r="A262" s="97" t="n"/>
      <c r="B262" s="97" t="n"/>
      <c r="C262" s="98" t="n"/>
      <c r="D262" s="98" t="n"/>
      <c r="E262" s="97" t="n"/>
      <c r="F262" s="98" t="n"/>
      <c r="K262" s="32" t="n"/>
      <c r="L262" s="32" t="n"/>
      <c r="M262" s="32" t="n"/>
      <c r="N262" s="32" t="n"/>
      <c r="O262" s="32" t="n"/>
      <c r="P262" s="32" t="n"/>
      <c r="Q262" s="32" t="n"/>
      <c r="R262" s="32" t="n"/>
      <c r="S262" s="32" t="n"/>
      <c r="T262" s="32" t="n"/>
      <c r="U262" s="32" t="n"/>
    </row>
    <row r="263" ht="14.25" customHeight="1" s="114">
      <c r="A263" s="97" t="n"/>
      <c r="B263" s="97" t="n"/>
      <c r="C263" s="98" t="n"/>
      <c r="D263" s="98" t="n"/>
      <c r="E263" s="97" t="n"/>
      <c r="F263" s="98" t="n"/>
      <c r="K263" s="32" t="n"/>
      <c r="L263" s="32" t="n"/>
      <c r="M263" s="32" t="n"/>
      <c r="N263" s="32" t="n"/>
      <c r="O263" s="32" t="n"/>
      <c r="P263" s="32" t="n"/>
      <c r="Q263" s="32" t="n"/>
      <c r="R263" s="32" t="n"/>
      <c r="S263" s="32" t="n"/>
      <c r="T263" s="32" t="n"/>
      <c r="U263" s="32" t="n"/>
    </row>
    <row r="264" ht="14.25" customHeight="1" s="114">
      <c r="A264" s="97" t="n"/>
      <c r="B264" s="97" t="n"/>
      <c r="C264" s="98" t="n"/>
      <c r="D264" s="98" t="n"/>
      <c r="E264" s="97" t="n"/>
      <c r="F264" s="98" t="n"/>
      <c r="K264" s="32" t="n"/>
      <c r="L264" s="32" t="n"/>
      <c r="M264" s="32" t="n"/>
      <c r="N264" s="32" t="n"/>
      <c r="O264" s="32" t="n"/>
      <c r="P264" s="32" t="n"/>
      <c r="Q264" s="32" t="n"/>
      <c r="R264" s="32" t="n"/>
      <c r="S264" s="32" t="n"/>
      <c r="T264" s="32" t="n"/>
      <c r="U264" s="32" t="n"/>
    </row>
    <row r="265" ht="14.25" customHeight="1" s="114">
      <c r="A265" s="97" t="n"/>
      <c r="B265" s="97" t="n"/>
      <c r="C265" s="98" t="n"/>
      <c r="D265" s="98" t="n"/>
      <c r="E265" s="97" t="n"/>
      <c r="F265" s="98" t="n"/>
      <c r="K265" s="32" t="n"/>
      <c r="L265" s="32" t="n"/>
      <c r="M265" s="32" t="n"/>
      <c r="N265" s="32" t="n"/>
      <c r="O265" s="32" t="n"/>
      <c r="P265" s="32" t="n"/>
      <c r="Q265" s="32" t="n"/>
      <c r="R265" s="32" t="n"/>
      <c r="S265" s="32" t="n"/>
      <c r="T265" s="32" t="n"/>
      <c r="U265" s="32" t="n"/>
    </row>
    <row r="266" ht="14.25" customHeight="1" s="114">
      <c r="A266" s="97" t="n"/>
      <c r="B266" s="97" t="n"/>
      <c r="C266" s="98" t="n"/>
      <c r="D266" s="98" t="n"/>
      <c r="E266" s="97" t="n"/>
      <c r="F266" s="98" t="n"/>
      <c r="K266" s="32" t="n"/>
      <c r="L266" s="32" t="n"/>
      <c r="M266" s="32" t="n"/>
      <c r="N266" s="32" t="n"/>
      <c r="O266" s="32" t="n"/>
      <c r="P266" s="32" t="n"/>
      <c r="Q266" s="32" t="n"/>
      <c r="R266" s="32" t="n"/>
      <c r="S266" s="32" t="n"/>
      <c r="T266" s="32" t="n"/>
      <c r="U266" s="32" t="n"/>
    </row>
    <row r="267" ht="14.25" customHeight="1" s="114">
      <c r="A267" s="97" t="n"/>
      <c r="B267" s="97" t="n"/>
      <c r="C267" s="98" t="n"/>
      <c r="D267" s="98" t="n"/>
      <c r="E267" s="97" t="n"/>
      <c r="F267" s="98" t="n"/>
      <c r="K267" s="32" t="n"/>
      <c r="L267" s="32" t="n"/>
      <c r="M267" s="32" t="n"/>
      <c r="N267" s="32" t="n"/>
      <c r="O267" s="32" t="n"/>
      <c r="P267" s="32" t="n"/>
      <c r="Q267" s="32" t="n"/>
      <c r="R267" s="32" t="n"/>
      <c r="S267" s="32" t="n"/>
      <c r="T267" s="32" t="n"/>
      <c r="U267" s="32" t="n"/>
    </row>
    <row r="268" ht="14.25" customHeight="1" s="114">
      <c r="A268" s="97" t="n"/>
      <c r="B268" s="97" t="n"/>
      <c r="C268" s="98" t="n"/>
      <c r="D268" s="98" t="n"/>
      <c r="E268" s="97" t="n"/>
      <c r="F268" s="98" t="n"/>
      <c r="K268" s="32" t="n"/>
      <c r="L268" s="32" t="n"/>
      <c r="M268" s="32" t="n"/>
      <c r="N268" s="32" t="n"/>
      <c r="O268" s="32" t="n"/>
      <c r="P268" s="32" t="n"/>
      <c r="Q268" s="32" t="n"/>
      <c r="R268" s="32" t="n"/>
      <c r="S268" s="32" t="n"/>
      <c r="T268" s="32" t="n"/>
      <c r="U268" s="32" t="n"/>
    </row>
    <row r="269" ht="14.25" customHeight="1" s="114">
      <c r="A269" s="97" t="n"/>
      <c r="B269" s="97" t="n"/>
      <c r="C269" s="98" t="n"/>
      <c r="D269" s="98" t="n"/>
      <c r="E269" s="97" t="n"/>
      <c r="F269" s="98" t="n"/>
      <c r="K269" s="32" t="n"/>
      <c r="L269" s="32" t="n"/>
      <c r="M269" s="32" t="n"/>
      <c r="N269" s="32" t="n"/>
      <c r="O269" s="32" t="n"/>
      <c r="P269" s="32" t="n"/>
      <c r="Q269" s="32" t="n"/>
      <c r="R269" s="32" t="n"/>
      <c r="S269" s="32" t="n"/>
      <c r="T269" s="32" t="n"/>
      <c r="U269" s="32" t="n"/>
    </row>
    <row r="270" ht="14.25" customHeight="1" s="114">
      <c r="A270" s="97" t="n"/>
      <c r="B270" s="97" t="n"/>
      <c r="C270" s="98" t="n"/>
      <c r="D270" s="98" t="n"/>
      <c r="E270" s="97" t="n"/>
      <c r="F270" s="98" t="n"/>
      <c r="K270" s="32" t="n"/>
      <c r="L270" s="32" t="n"/>
      <c r="M270" s="32" t="n"/>
      <c r="N270" s="32" t="n"/>
      <c r="O270" s="32" t="n"/>
      <c r="P270" s="32" t="n"/>
      <c r="Q270" s="32" t="n"/>
      <c r="R270" s="32" t="n"/>
      <c r="S270" s="32" t="n"/>
      <c r="T270" s="32" t="n"/>
      <c r="U270" s="32" t="n"/>
    </row>
    <row r="271" ht="14.25" customHeight="1" s="114">
      <c r="A271" s="97" t="n"/>
      <c r="B271" s="97" t="n"/>
      <c r="C271" s="98" t="n"/>
      <c r="D271" s="98" t="n"/>
      <c r="E271" s="97" t="n"/>
      <c r="F271" s="98" t="n"/>
      <c r="K271" s="32" t="n"/>
      <c r="L271" s="32" t="n"/>
      <c r="M271" s="32" t="n"/>
      <c r="N271" s="32" t="n"/>
      <c r="O271" s="32" t="n"/>
      <c r="P271" s="32" t="n"/>
      <c r="Q271" s="32" t="n"/>
      <c r="R271" s="32" t="n"/>
      <c r="S271" s="32" t="n"/>
      <c r="T271" s="32" t="n"/>
      <c r="U271" s="32" t="n"/>
    </row>
    <row r="272" ht="14.25" customHeight="1" s="114">
      <c r="A272" s="97" t="n"/>
      <c r="B272" s="97" t="n"/>
      <c r="C272" s="98" t="n"/>
      <c r="D272" s="98" t="n"/>
      <c r="E272" s="97" t="n"/>
      <c r="F272" s="98" t="n"/>
      <c r="K272" s="32" t="n"/>
      <c r="L272" s="32" t="n"/>
      <c r="M272" s="32" t="n"/>
      <c r="N272" s="32" t="n"/>
      <c r="O272" s="32" t="n"/>
      <c r="P272" s="32" t="n"/>
      <c r="Q272" s="32" t="n"/>
      <c r="R272" s="32" t="n"/>
      <c r="S272" s="32" t="n"/>
      <c r="T272" s="32" t="n"/>
      <c r="U272" s="32" t="n"/>
    </row>
    <row r="273" ht="14.25" customHeight="1" s="114">
      <c r="A273" s="97" t="n"/>
      <c r="B273" s="97" t="n"/>
      <c r="C273" s="98" t="n"/>
      <c r="D273" s="98" t="n"/>
      <c r="E273" s="97" t="n"/>
      <c r="F273" s="98" t="n"/>
      <c r="K273" s="32" t="n"/>
      <c r="L273" s="32" t="n"/>
      <c r="M273" s="32" t="n"/>
      <c r="N273" s="32" t="n"/>
      <c r="O273" s="32" t="n"/>
      <c r="P273" s="32" t="n"/>
      <c r="Q273" s="32" t="n"/>
      <c r="R273" s="32" t="n"/>
      <c r="S273" s="32" t="n"/>
      <c r="T273" s="32" t="n"/>
      <c r="U273" s="32" t="n"/>
    </row>
    <row r="274" ht="14.25" customHeight="1" s="114">
      <c r="A274" s="97" t="n"/>
      <c r="B274" s="97" t="n"/>
      <c r="C274" s="98" t="n"/>
      <c r="D274" s="98" t="n"/>
      <c r="E274" s="97" t="n"/>
      <c r="F274" s="98" t="n"/>
      <c r="K274" s="32" t="n"/>
      <c r="L274" s="32" t="n"/>
      <c r="M274" s="32" t="n"/>
      <c r="N274" s="32" t="n"/>
      <c r="O274" s="32" t="n"/>
      <c r="P274" s="32" t="n"/>
      <c r="Q274" s="32" t="n"/>
      <c r="R274" s="32" t="n"/>
      <c r="S274" s="32" t="n"/>
      <c r="T274" s="32" t="n"/>
      <c r="U274" s="32" t="n"/>
    </row>
    <row r="275" ht="14.25" customHeight="1" s="114">
      <c r="A275" s="97" t="n"/>
      <c r="B275" s="97" t="n"/>
      <c r="C275" s="98" t="n"/>
      <c r="D275" s="98" t="n"/>
      <c r="E275" s="97" t="n"/>
      <c r="F275" s="98" t="n"/>
      <c r="K275" s="32" t="n"/>
      <c r="L275" s="32" t="n"/>
      <c r="M275" s="32" t="n"/>
      <c r="N275" s="32" t="n"/>
      <c r="O275" s="32" t="n"/>
      <c r="P275" s="32" t="n"/>
      <c r="Q275" s="32" t="n"/>
      <c r="R275" s="32" t="n"/>
      <c r="S275" s="32" t="n"/>
      <c r="T275" s="32" t="n"/>
      <c r="U275" s="32" t="n"/>
    </row>
    <row r="276" ht="14.25" customHeight="1" s="114">
      <c r="A276" s="97" t="n"/>
      <c r="B276" s="97" t="n"/>
      <c r="C276" s="98" t="n"/>
      <c r="D276" s="98" t="n"/>
      <c r="E276" s="97" t="n"/>
      <c r="F276" s="98" t="n"/>
      <c r="K276" s="32" t="n"/>
      <c r="L276" s="32" t="n"/>
      <c r="M276" s="32" t="n"/>
      <c r="N276" s="32" t="n"/>
      <c r="O276" s="32" t="n"/>
      <c r="P276" s="32" t="n"/>
      <c r="Q276" s="32" t="n"/>
      <c r="R276" s="32" t="n"/>
      <c r="S276" s="32" t="n"/>
      <c r="T276" s="32" t="n"/>
      <c r="U276" s="32" t="n"/>
    </row>
    <row r="277" ht="14.25" customHeight="1" s="114">
      <c r="A277" s="97" t="n"/>
      <c r="B277" s="97" t="n"/>
      <c r="C277" s="98" t="n"/>
      <c r="D277" s="98" t="n"/>
      <c r="E277" s="97" t="n"/>
      <c r="F277" s="98" t="n"/>
      <c r="K277" s="32" t="n"/>
      <c r="L277" s="32" t="n"/>
      <c r="M277" s="32" t="n"/>
      <c r="N277" s="32" t="n"/>
      <c r="O277" s="32" t="n"/>
      <c r="P277" s="32" t="n"/>
      <c r="Q277" s="32" t="n"/>
      <c r="R277" s="32" t="n"/>
      <c r="S277" s="32" t="n"/>
      <c r="T277" s="32" t="n"/>
      <c r="U277" s="32" t="n"/>
    </row>
    <row r="278" ht="14.25" customHeight="1" s="114">
      <c r="A278" s="97" t="n"/>
      <c r="B278" s="97" t="n"/>
      <c r="C278" s="98" t="n"/>
      <c r="D278" s="98" t="n"/>
      <c r="E278" s="97" t="n"/>
      <c r="F278" s="98" t="n"/>
      <c r="K278" s="32" t="n"/>
      <c r="L278" s="32" t="n"/>
      <c r="M278" s="32" t="n"/>
      <c r="N278" s="32" t="n"/>
      <c r="O278" s="32" t="n"/>
      <c r="P278" s="32" t="n"/>
      <c r="Q278" s="32" t="n"/>
      <c r="R278" s="32" t="n"/>
      <c r="S278" s="32" t="n"/>
      <c r="T278" s="32" t="n"/>
      <c r="U278" s="32" t="n"/>
    </row>
    <row r="279" ht="14.25" customHeight="1" s="114">
      <c r="A279" s="97" t="n"/>
      <c r="B279" s="97" t="n"/>
      <c r="C279" s="98" t="n"/>
      <c r="D279" s="98" t="n"/>
      <c r="E279" s="97" t="n"/>
      <c r="F279" s="98" t="n"/>
      <c r="K279" s="32" t="n"/>
      <c r="L279" s="32" t="n"/>
      <c r="M279" s="32" t="n"/>
      <c r="N279" s="32" t="n"/>
      <c r="O279" s="32" t="n"/>
      <c r="P279" s="32" t="n"/>
      <c r="Q279" s="32" t="n"/>
      <c r="R279" s="32" t="n"/>
      <c r="S279" s="32" t="n"/>
      <c r="T279" s="32" t="n"/>
      <c r="U279" s="32" t="n"/>
    </row>
    <row r="280" ht="14.25" customHeight="1" s="114">
      <c r="A280" s="97" t="n"/>
      <c r="B280" s="97" t="n"/>
      <c r="C280" s="98" t="n"/>
      <c r="D280" s="98" t="n"/>
      <c r="E280" s="97" t="n"/>
      <c r="F280" s="98" t="n"/>
      <c r="K280" s="32" t="n"/>
      <c r="L280" s="32" t="n"/>
      <c r="M280" s="32" t="n"/>
      <c r="N280" s="32" t="n"/>
      <c r="O280" s="32" t="n"/>
      <c r="P280" s="32" t="n"/>
      <c r="Q280" s="32" t="n"/>
      <c r="R280" s="32" t="n"/>
      <c r="S280" s="32" t="n"/>
      <c r="T280" s="32" t="n"/>
      <c r="U280" s="32" t="n"/>
    </row>
    <row r="281" ht="14.25" customHeight="1" s="114">
      <c r="A281" s="97" t="n"/>
      <c r="B281" s="97" t="n"/>
      <c r="C281" s="98" t="n"/>
      <c r="D281" s="98" t="n"/>
      <c r="E281" s="97" t="n"/>
      <c r="F281" s="98" t="n"/>
      <c r="K281" s="32" t="n"/>
      <c r="L281" s="32" t="n"/>
      <c r="M281" s="32" t="n"/>
      <c r="N281" s="32" t="n"/>
      <c r="O281" s="32" t="n"/>
      <c r="P281" s="32" t="n"/>
      <c r="Q281" s="32" t="n"/>
      <c r="R281" s="32" t="n"/>
      <c r="S281" s="32" t="n"/>
      <c r="T281" s="32" t="n"/>
      <c r="U281" s="32" t="n"/>
    </row>
    <row r="282" ht="14.25" customHeight="1" s="114">
      <c r="A282" s="97" t="n"/>
      <c r="B282" s="97" t="n"/>
      <c r="C282" s="98" t="n"/>
      <c r="D282" s="98" t="n"/>
      <c r="E282" s="97" t="n"/>
      <c r="F282" s="98" t="n"/>
      <c r="K282" s="32" t="n"/>
      <c r="L282" s="32" t="n"/>
      <c r="M282" s="32" t="n"/>
      <c r="N282" s="32" t="n"/>
      <c r="O282" s="32" t="n"/>
      <c r="P282" s="32" t="n"/>
      <c r="Q282" s="32" t="n"/>
      <c r="R282" s="32" t="n"/>
      <c r="S282" s="32" t="n"/>
      <c r="T282" s="32" t="n"/>
      <c r="U282" s="32" t="n"/>
    </row>
    <row r="283" ht="14.25" customHeight="1" s="114">
      <c r="A283" s="97" t="n"/>
      <c r="B283" s="97" t="n"/>
      <c r="C283" s="98" t="n"/>
      <c r="D283" s="98" t="n"/>
      <c r="E283" s="97" t="n"/>
      <c r="F283" s="98" t="n"/>
      <c r="K283" s="32" t="n"/>
      <c r="L283" s="32" t="n"/>
      <c r="M283" s="32" t="n"/>
      <c r="N283" s="32" t="n"/>
      <c r="O283" s="32" t="n"/>
      <c r="P283" s="32" t="n"/>
      <c r="Q283" s="32" t="n"/>
      <c r="R283" s="32" t="n"/>
      <c r="S283" s="32" t="n"/>
      <c r="T283" s="32" t="n"/>
      <c r="U283" s="32" t="n"/>
    </row>
    <row r="284" ht="14.25" customHeight="1" s="114">
      <c r="A284" s="97" t="n"/>
      <c r="B284" s="97" t="n"/>
      <c r="C284" s="98" t="n"/>
      <c r="D284" s="98" t="n"/>
      <c r="E284" s="97" t="n"/>
      <c r="F284" s="98" t="n"/>
      <c r="K284" s="32" t="n"/>
      <c r="L284" s="32" t="n"/>
      <c r="M284" s="32" t="n"/>
      <c r="N284" s="32" t="n"/>
      <c r="O284" s="32" t="n"/>
      <c r="P284" s="32" t="n"/>
      <c r="Q284" s="32" t="n"/>
      <c r="R284" s="32" t="n"/>
      <c r="S284" s="32" t="n"/>
      <c r="T284" s="32" t="n"/>
      <c r="U284" s="32" t="n"/>
    </row>
    <row r="285" ht="14.25" customHeight="1" s="114">
      <c r="A285" s="97" t="n"/>
      <c r="B285" s="97" t="n"/>
      <c r="C285" s="98" t="n"/>
      <c r="D285" s="98" t="n"/>
      <c r="E285" s="97" t="n"/>
      <c r="F285" s="98" t="n"/>
      <c r="K285" s="32" t="n"/>
      <c r="L285" s="32" t="n"/>
      <c r="M285" s="32" t="n"/>
      <c r="N285" s="32" t="n"/>
      <c r="O285" s="32" t="n"/>
      <c r="P285" s="32" t="n"/>
      <c r="Q285" s="32" t="n"/>
      <c r="R285" s="32" t="n"/>
      <c r="S285" s="32" t="n"/>
      <c r="T285" s="32" t="n"/>
      <c r="U285" s="32" t="n"/>
    </row>
    <row r="286" ht="14.25" customHeight="1" s="114">
      <c r="A286" s="97" t="n"/>
      <c r="B286" s="97" t="n"/>
      <c r="C286" s="98" t="n"/>
      <c r="D286" s="98" t="n"/>
      <c r="E286" s="97" t="n"/>
      <c r="F286" s="98" t="n"/>
      <c r="K286" s="32" t="n"/>
      <c r="L286" s="32" t="n"/>
      <c r="M286" s="32" t="n"/>
      <c r="N286" s="32" t="n"/>
      <c r="O286" s="32" t="n"/>
      <c r="P286" s="32" t="n"/>
      <c r="Q286" s="32" t="n"/>
      <c r="R286" s="32" t="n"/>
      <c r="S286" s="32" t="n"/>
      <c r="T286" s="32" t="n"/>
      <c r="U286" s="32" t="n"/>
    </row>
    <row r="287" ht="14.25" customHeight="1" s="114">
      <c r="A287" s="97" t="n"/>
      <c r="B287" s="97" t="n"/>
      <c r="C287" s="98" t="n"/>
      <c r="D287" s="98" t="n"/>
      <c r="E287" s="97" t="n"/>
      <c r="F287" s="98" t="n"/>
      <c r="K287" s="32" t="n"/>
      <c r="L287" s="32" t="n"/>
      <c r="M287" s="32" t="n"/>
      <c r="N287" s="32" t="n"/>
      <c r="O287" s="32" t="n"/>
      <c r="P287" s="32" t="n"/>
      <c r="Q287" s="32" t="n"/>
      <c r="R287" s="32" t="n"/>
      <c r="S287" s="32" t="n"/>
      <c r="T287" s="32" t="n"/>
      <c r="U287" s="32" t="n"/>
    </row>
    <row r="288" ht="14.25" customHeight="1" s="114">
      <c r="A288" s="97" t="n"/>
      <c r="B288" s="97" t="n"/>
      <c r="C288" s="98" t="n"/>
      <c r="D288" s="98" t="n"/>
      <c r="E288" s="97" t="n"/>
      <c r="F288" s="98" t="n"/>
      <c r="K288" s="32" t="n"/>
      <c r="L288" s="32" t="n"/>
      <c r="M288" s="32" t="n"/>
      <c r="N288" s="32" t="n"/>
      <c r="O288" s="32" t="n"/>
      <c r="P288" s="32" t="n"/>
      <c r="Q288" s="32" t="n"/>
      <c r="R288" s="32" t="n"/>
      <c r="S288" s="32" t="n"/>
      <c r="T288" s="32" t="n"/>
      <c r="U288" s="32" t="n"/>
    </row>
    <row r="289" ht="14.25" customHeight="1" s="114">
      <c r="A289" s="97" t="n"/>
      <c r="B289" s="97" t="n"/>
      <c r="C289" s="98" t="n"/>
      <c r="D289" s="98" t="n"/>
      <c r="E289" s="97" t="n"/>
      <c r="F289" s="98" t="n"/>
      <c r="K289" s="32" t="n"/>
      <c r="L289" s="32" t="n"/>
      <c r="M289" s="32" t="n"/>
      <c r="N289" s="32" t="n"/>
      <c r="O289" s="32" t="n"/>
      <c r="P289" s="32" t="n"/>
      <c r="Q289" s="32" t="n"/>
      <c r="R289" s="32" t="n"/>
      <c r="S289" s="32" t="n"/>
      <c r="T289" s="32" t="n"/>
      <c r="U289" s="32" t="n"/>
    </row>
    <row r="290" ht="14.25" customHeight="1" s="114">
      <c r="A290" s="97" t="n"/>
      <c r="B290" s="97" t="n"/>
      <c r="C290" s="98" t="n"/>
      <c r="D290" s="98" t="n"/>
      <c r="E290" s="97" t="n"/>
      <c r="F290" s="98" t="n"/>
      <c r="K290" s="32" t="n"/>
      <c r="L290" s="32" t="n"/>
      <c r="M290" s="32" t="n"/>
      <c r="N290" s="32" t="n"/>
      <c r="O290" s="32" t="n"/>
      <c r="P290" s="32" t="n"/>
      <c r="Q290" s="32" t="n"/>
      <c r="R290" s="32" t="n"/>
      <c r="S290" s="32" t="n"/>
      <c r="T290" s="32" t="n"/>
      <c r="U290" s="32" t="n"/>
    </row>
    <row r="291" ht="14.25" customHeight="1" s="114">
      <c r="A291" s="97" t="n"/>
      <c r="B291" s="97" t="n"/>
      <c r="C291" s="98" t="n"/>
      <c r="D291" s="98" t="n"/>
      <c r="E291" s="97" t="n"/>
      <c r="F291" s="98" t="n"/>
      <c r="K291" s="32" t="n"/>
      <c r="L291" s="32" t="n"/>
      <c r="M291" s="32" t="n"/>
      <c r="N291" s="32" t="n"/>
      <c r="O291" s="32" t="n"/>
      <c r="P291" s="32" t="n"/>
      <c r="Q291" s="32" t="n"/>
      <c r="R291" s="32" t="n"/>
      <c r="S291" s="32" t="n"/>
      <c r="T291" s="32" t="n"/>
      <c r="U291" s="32" t="n"/>
    </row>
    <row r="292" ht="14.25" customHeight="1" s="114">
      <c r="A292" s="97" t="n"/>
      <c r="B292" s="97" t="n"/>
      <c r="C292" s="98" t="n"/>
      <c r="D292" s="98" t="n"/>
      <c r="E292" s="97" t="n"/>
      <c r="F292" s="98" t="n"/>
      <c r="K292" s="32" t="n"/>
      <c r="L292" s="32" t="n"/>
      <c r="M292" s="32" t="n"/>
      <c r="N292" s="32" t="n"/>
      <c r="O292" s="32" t="n"/>
      <c r="P292" s="32" t="n"/>
      <c r="Q292" s="32" t="n"/>
      <c r="R292" s="32" t="n"/>
      <c r="S292" s="32" t="n"/>
      <c r="T292" s="32" t="n"/>
      <c r="U292" s="32" t="n"/>
    </row>
    <row r="293" ht="14.25" customHeight="1" s="114">
      <c r="A293" s="97" t="n"/>
      <c r="B293" s="97" t="n"/>
      <c r="C293" s="98" t="n"/>
      <c r="D293" s="98" t="n"/>
      <c r="E293" s="97" t="n"/>
      <c r="F293" s="98" t="n"/>
      <c r="K293" s="32" t="n"/>
      <c r="L293" s="32" t="n"/>
      <c r="M293" s="32" t="n"/>
      <c r="N293" s="32" t="n"/>
      <c r="O293" s="32" t="n"/>
      <c r="P293" s="32" t="n"/>
      <c r="Q293" s="32" t="n"/>
      <c r="R293" s="32" t="n"/>
      <c r="S293" s="32" t="n"/>
      <c r="T293" s="32" t="n"/>
      <c r="U293" s="32" t="n"/>
    </row>
    <row r="294" ht="14.25" customHeight="1" s="114">
      <c r="A294" s="97" t="n"/>
      <c r="B294" s="97" t="n"/>
      <c r="C294" s="98" t="n"/>
      <c r="D294" s="98" t="n"/>
      <c r="E294" s="97" t="n"/>
      <c r="F294" s="98" t="n"/>
      <c r="K294" s="32" t="n"/>
      <c r="L294" s="32" t="n"/>
      <c r="M294" s="32" t="n"/>
      <c r="N294" s="32" t="n"/>
      <c r="O294" s="32" t="n"/>
      <c r="P294" s="32" t="n"/>
      <c r="Q294" s="32" t="n"/>
      <c r="R294" s="32" t="n"/>
      <c r="S294" s="32" t="n"/>
      <c r="T294" s="32" t="n"/>
      <c r="U294" s="32" t="n"/>
    </row>
    <row r="295" ht="14.25" customHeight="1" s="114">
      <c r="A295" s="97" t="n"/>
      <c r="B295" s="97" t="n"/>
      <c r="C295" s="98" t="n"/>
      <c r="D295" s="98" t="n"/>
      <c r="E295" s="97" t="n"/>
      <c r="F295" s="98" t="n"/>
      <c r="K295" s="32" t="n"/>
      <c r="L295" s="32" t="n"/>
      <c r="M295" s="32" t="n"/>
      <c r="N295" s="32" t="n"/>
      <c r="O295" s="32" t="n"/>
      <c r="P295" s="32" t="n"/>
      <c r="Q295" s="32" t="n"/>
      <c r="R295" s="32" t="n"/>
      <c r="S295" s="32" t="n"/>
      <c r="T295" s="32" t="n"/>
      <c r="U295" s="32" t="n"/>
    </row>
    <row r="296" ht="14.25" customHeight="1" s="114">
      <c r="A296" s="97" t="n"/>
      <c r="B296" s="97" t="n"/>
      <c r="C296" s="98" t="n"/>
      <c r="D296" s="98" t="n"/>
      <c r="E296" s="97" t="n"/>
      <c r="F296" s="98" t="n"/>
      <c r="K296" s="32" t="n"/>
      <c r="L296" s="32" t="n"/>
      <c r="M296" s="32" t="n"/>
      <c r="N296" s="32" t="n"/>
      <c r="O296" s="32" t="n"/>
      <c r="P296" s="32" t="n"/>
      <c r="Q296" s="32" t="n"/>
      <c r="R296" s="32" t="n"/>
      <c r="S296" s="32" t="n"/>
      <c r="T296" s="32" t="n"/>
      <c r="U296" s="32" t="n"/>
    </row>
    <row r="297" ht="14.25" customHeight="1" s="114">
      <c r="A297" s="97" t="n"/>
      <c r="B297" s="97" t="n"/>
      <c r="C297" s="98" t="n"/>
      <c r="D297" s="98" t="n"/>
      <c r="E297" s="97" t="n"/>
      <c r="F297" s="98" t="n"/>
      <c r="K297" s="32" t="n"/>
      <c r="L297" s="32" t="n"/>
      <c r="M297" s="32" t="n"/>
      <c r="N297" s="32" t="n"/>
      <c r="O297" s="32" t="n"/>
      <c r="P297" s="32" t="n"/>
      <c r="Q297" s="32" t="n"/>
      <c r="R297" s="32" t="n"/>
      <c r="S297" s="32" t="n"/>
      <c r="T297" s="32" t="n"/>
      <c r="U297" s="32" t="n"/>
    </row>
    <row r="298" ht="14.25" customHeight="1" s="114">
      <c r="A298" s="97" t="n"/>
      <c r="B298" s="97" t="n"/>
      <c r="C298" s="98" t="n"/>
      <c r="D298" s="98" t="n"/>
      <c r="E298" s="97" t="n"/>
      <c r="F298" s="98" t="n"/>
      <c r="K298" s="32" t="n"/>
      <c r="L298" s="32" t="n"/>
      <c r="M298" s="32" t="n"/>
      <c r="N298" s="32" t="n"/>
      <c r="O298" s="32" t="n"/>
      <c r="P298" s="32" t="n"/>
      <c r="Q298" s="32" t="n"/>
      <c r="R298" s="32" t="n"/>
      <c r="S298" s="32" t="n"/>
      <c r="T298" s="32" t="n"/>
      <c r="U298" s="32" t="n"/>
    </row>
    <row r="299" ht="14.25" customHeight="1" s="114">
      <c r="A299" s="97" t="n"/>
      <c r="B299" s="97" t="n"/>
      <c r="C299" s="98" t="n"/>
      <c r="D299" s="98" t="n"/>
      <c r="E299" s="97" t="n"/>
      <c r="F299" s="98" t="n"/>
      <c r="K299" s="32" t="n"/>
      <c r="L299" s="32" t="n"/>
      <c r="M299" s="32" t="n"/>
      <c r="N299" s="32" t="n"/>
      <c r="O299" s="32" t="n"/>
      <c r="P299" s="32" t="n"/>
      <c r="Q299" s="32" t="n"/>
      <c r="R299" s="32" t="n"/>
      <c r="S299" s="32" t="n"/>
      <c r="T299" s="32" t="n"/>
      <c r="U299" s="32" t="n"/>
    </row>
    <row r="300" ht="14.25" customHeight="1" s="114">
      <c r="A300" s="97" t="n"/>
      <c r="B300" s="97" t="n"/>
      <c r="C300" s="98" t="n"/>
      <c r="D300" s="98" t="n"/>
      <c r="E300" s="97" t="n"/>
      <c r="F300" s="98" t="n"/>
      <c r="K300" s="32" t="n"/>
      <c r="L300" s="32" t="n"/>
      <c r="M300" s="32" t="n"/>
      <c r="N300" s="32" t="n"/>
      <c r="O300" s="32" t="n"/>
      <c r="P300" s="32" t="n"/>
      <c r="Q300" s="32" t="n"/>
      <c r="R300" s="32" t="n"/>
      <c r="S300" s="32" t="n"/>
      <c r="T300" s="32" t="n"/>
      <c r="U300" s="32" t="n"/>
    </row>
    <row r="301" ht="14.25" customHeight="1" s="114">
      <c r="A301" s="97" t="n"/>
      <c r="B301" s="97" t="n"/>
      <c r="C301" s="98" t="n"/>
      <c r="D301" s="98" t="n"/>
      <c r="E301" s="97" t="n"/>
      <c r="F301" s="98" t="n"/>
      <c r="K301" s="32" t="n"/>
      <c r="L301" s="32" t="n"/>
      <c r="M301" s="32" t="n"/>
      <c r="N301" s="32" t="n"/>
      <c r="O301" s="32" t="n"/>
      <c r="P301" s="32" t="n"/>
      <c r="Q301" s="32" t="n"/>
      <c r="R301" s="32" t="n"/>
      <c r="S301" s="32" t="n"/>
      <c r="T301" s="32" t="n"/>
      <c r="U301" s="32" t="n"/>
    </row>
    <row r="302" ht="14.25" customHeight="1" s="114">
      <c r="A302" s="97" t="n"/>
      <c r="B302" s="97" t="n"/>
      <c r="C302" s="98" t="n"/>
      <c r="D302" s="98" t="n"/>
      <c r="E302" s="97" t="n"/>
      <c r="F302" s="98" t="n"/>
      <c r="K302" s="32" t="n"/>
      <c r="L302" s="32" t="n"/>
      <c r="M302" s="32" t="n"/>
      <c r="N302" s="32" t="n"/>
      <c r="O302" s="32" t="n"/>
      <c r="P302" s="32" t="n"/>
      <c r="Q302" s="32" t="n"/>
      <c r="R302" s="32" t="n"/>
      <c r="S302" s="32" t="n"/>
      <c r="T302" s="32" t="n"/>
      <c r="U302" s="32" t="n"/>
    </row>
    <row r="303" ht="14.25" customHeight="1" s="114">
      <c r="A303" s="97" t="n"/>
      <c r="B303" s="97" t="n"/>
      <c r="C303" s="98" t="n"/>
      <c r="D303" s="98" t="n"/>
      <c r="E303" s="97" t="n"/>
      <c r="F303" s="98" t="n"/>
      <c r="K303" s="32" t="n"/>
      <c r="L303" s="32" t="n"/>
      <c r="M303" s="32" t="n"/>
      <c r="N303" s="32" t="n"/>
      <c r="O303" s="32" t="n"/>
      <c r="P303" s="32" t="n"/>
      <c r="Q303" s="32" t="n"/>
      <c r="R303" s="32" t="n"/>
      <c r="S303" s="32" t="n"/>
      <c r="T303" s="32" t="n"/>
      <c r="U303" s="32" t="n"/>
    </row>
    <row r="304" ht="14.25" customHeight="1" s="114">
      <c r="A304" s="97" t="n"/>
      <c r="B304" s="97" t="n"/>
      <c r="C304" s="98" t="n"/>
      <c r="D304" s="98" t="n"/>
      <c r="E304" s="97" t="n"/>
      <c r="F304" s="98" t="n"/>
      <c r="K304" s="32" t="n"/>
      <c r="L304" s="32" t="n"/>
      <c r="M304" s="32" t="n"/>
      <c r="N304" s="32" t="n"/>
      <c r="O304" s="32" t="n"/>
      <c r="P304" s="32" t="n"/>
      <c r="Q304" s="32" t="n"/>
      <c r="R304" s="32" t="n"/>
      <c r="S304" s="32" t="n"/>
      <c r="T304" s="32" t="n"/>
      <c r="U304" s="32" t="n"/>
    </row>
    <row r="305" ht="14.25" customHeight="1" s="114">
      <c r="A305" s="97" t="n"/>
      <c r="B305" s="97" t="n"/>
      <c r="C305" s="98" t="n"/>
      <c r="D305" s="98" t="n"/>
      <c r="E305" s="97" t="n"/>
      <c r="F305" s="98" t="n"/>
      <c r="K305" s="32" t="n"/>
      <c r="L305" s="32" t="n"/>
      <c r="M305" s="32" t="n"/>
      <c r="N305" s="32" t="n"/>
      <c r="O305" s="32" t="n"/>
      <c r="P305" s="32" t="n"/>
      <c r="Q305" s="32" t="n"/>
      <c r="R305" s="32" t="n"/>
      <c r="S305" s="32" t="n"/>
      <c r="T305" s="32" t="n"/>
      <c r="U305" s="32" t="n"/>
    </row>
    <row r="306" ht="14.25" customHeight="1" s="114">
      <c r="A306" s="97" t="n"/>
      <c r="B306" s="97" t="n"/>
      <c r="C306" s="98" t="n"/>
      <c r="D306" s="98" t="n"/>
      <c r="E306" s="97" t="n"/>
      <c r="F306" s="98" t="n"/>
      <c r="K306" s="32" t="n"/>
      <c r="L306" s="32" t="n"/>
      <c r="M306" s="32" t="n"/>
      <c r="N306" s="32" t="n"/>
      <c r="O306" s="32" t="n"/>
      <c r="P306" s="32" t="n"/>
      <c r="Q306" s="32" t="n"/>
      <c r="R306" s="32" t="n"/>
      <c r="S306" s="32" t="n"/>
      <c r="T306" s="32" t="n"/>
      <c r="U306" s="32" t="n"/>
    </row>
    <row r="307" ht="14.25" customHeight="1" s="114">
      <c r="A307" s="97" t="n"/>
      <c r="B307" s="97" t="n"/>
      <c r="C307" s="98" t="n"/>
      <c r="D307" s="98" t="n"/>
      <c r="E307" s="97" t="n"/>
      <c r="F307" s="98" t="n"/>
      <c r="K307" s="32" t="n"/>
      <c r="L307" s="32" t="n"/>
      <c r="M307" s="32" t="n"/>
      <c r="N307" s="32" t="n"/>
      <c r="O307" s="32" t="n"/>
      <c r="P307" s="32" t="n"/>
      <c r="Q307" s="32" t="n"/>
      <c r="R307" s="32" t="n"/>
      <c r="S307" s="32" t="n"/>
      <c r="T307" s="32" t="n"/>
      <c r="U307" s="32" t="n"/>
    </row>
    <row r="308" ht="15.75" customHeight="1" s="114"/>
    <row r="309" ht="15.75" customHeight="1" s="114"/>
    <row r="310" ht="15.75" customHeight="1" s="114"/>
    <row r="311" ht="15.75" customHeight="1" s="114"/>
    <row r="312" ht="15.75" customHeight="1" s="114"/>
    <row r="313" ht="15.75" customHeight="1" s="114"/>
    <row r="314" ht="15.75" customHeight="1" s="114"/>
    <row r="315" ht="15.75" customHeight="1" s="114"/>
    <row r="316" ht="15.75" customHeight="1" s="114"/>
    <row r="317" ht="15.75" customHeight="1" s="114"/>
    <row r="318" ht="15.75" customHeight="1" s="114"/>
    <row r="319" ht="15.75" customHeight="1" s="114"/>
    <row r="320" ht="15.75" customHeight="1" s="114"/>
    <row r="321" ht="15.75" customHeight="1" s="114"/>
    <row r="322" ht="15.75" customHeight="1" s="114"/>
    <row r="323" ht="15.75" customHeight="1" s="114"/>
    <row r="324" ht="15.75" customHeight="1" s="114"/>
    <row r="325" ht="15.75" customHeight="1" s="114"/>
    <row r="326" ht="15.75" customHeight="1" s="114"/>
    <row r="327" ht="15.75" customHeight="1" s="114"/>
    <row r="328" ht="15.75" customHeight="1" s="114"/>
    <row r="329" ht="15.75" customHeight="1" s="114"/>
    <row r="330" ht="15.75" customHeight="1" s="114"/>
    <row r="331" ht="15.75" customHeight="1" s="114"/>
    <row r="332" ht="15.75" customHeight="1" s="114"/>
    <row r="333" ht="15.75" customHeight="1" s="114"/>
    <row r="334" ht="15.75" customHeight="1" s="114"/>
    <row r="335" ht="15.75" customHeight="1" s="114"/>
    <row r="336" ht="15.75" customHeight="1" s="114"/>
    <row r="337" ht="15.75" customHeight="1" s="114"/>
    <row r="338" ht="15.75" customHeight="1" s="114"/>
    <row r="339" ht="15.75" customHeight="1" s="114"/>
    <row r="340" ht="15.75" customHeight="1" s="114"/>
    <row r="341" ht="15.75" customHeight="1" s="114"/>
    <row r="342" ht="15.75" customHeight="1" s="114"/>
    <row r="343" ht="15.75" customHeight="1" s="114"/>
    <row r="344" ht="15.75" customHeight="1" s="114"/>
    <row r="345" ht="15.75" customHeight="1" s="114"/>
    <row r="346" ht="15.75" customHeight="1" s="114"/>
    <row r="347" ht="15.75" customHeight="1" s="114"/>
    <row r="348" ht="15.75" customHeight="1" s="114"/>
    <row r="349" ht="15.75" customHeight="1" s="114"/>
    <row r="350" ht="15.75" customHeight="1" s="114"/>
    <row r="351" ht="15.75" customHeight="1" s="114"/>
    <row r="352" ht="15.75" customHeight="1" s="114"/>
    <row r="353" ht="15.75" customHeight="1" s="114"/>
    <row r="354" ht="15.75" customHeight="1" s="114"/>
    <row r="355" ht="15.75" customHeight="1" s="114"/>
    <row r="356" ht="15.75" customHeight="1" s="114"/>
    <row r="357" ht="15.75" customHeight="1" s="114"/>
    <row r="358" ht="15.75" customHeight="1" s="114"/>
    <row r="359" ht="15.75" customHeight="1" s="114"/>
    <row r="360" ht="15.75" customHeight="1" s="114"/>
    <row r="361" ht="15.75" customHeight="1" s="114"/>
    <row r="362" ht="15.75" customHeight="1" s="114"/>
    <row r="363" ht="15.75" customHeight="1" s="114"/>
    <row r="364" ht="15.75" customHeight="1" s="114"/>
    <row r="365" ht="15.75" customHeight="1" s="114"/>
    <row r="366" ht="15.75" customHeight="1" s="114"/>
    <row r="367" ht="15.75" customHeight="1" s="114"/>
    <row r="368" ht="15.75" customHeight="1" s="114"/>
    <row r="369" ht="15.75" customHeight="1" s="114"/>
    <row r="370" ht="15.75" customHeight="1" s="114"/>
    <row r="371" ht="15.75" customHeight="1" s="114"/>
    <row r="372" ht="15.75" customHeight="1" s="114"/>
    <row r="373" ht="15.75" customHeight="1" s="114"/>
    <row r="374" ht="15.75" customHeight="1" s="114"/>
    <row r="375" ht="15.75" customHeight="1" s="114"/>
    <row r="376" ht="15.75" customHeight="1" s="114"/>
    <row r="377" ht="15.75" customHeight="1" s="114"/>
    <row r="378" ht="15.75" customHeight="1" s="114"/>
    <row r="379" ht="15.75" customHeight="1" s="114"/>
    <row r="380" ht="15.75" customHeight="1" s="114"/>
    <row r="381" ht="15.75" customHeight="1" s="114"/>
    <row r="382" ht="15.75" customHeight="1" s="114"/>
    <row r="383" ht="15.75" customHeight="1" s="114"/>
    <row r="384" ht="15.75" customHeight="1" s="114"/>
    <row r="385" ht="15.75" customHeight="1" s="114"/>
    <row r="386" ht="15.75" customHeight="1" s="114"/>
    <row r="387" ht="15.75" customHeight="1" s="114"/>
    <row r="388" ht="15.75" customHeight="1" s="114"/>
    <row r="389" ht="15.75" customHeight="1" s="114"/>
    <row r="390" ht="15.75" customHeight="1" s="114"/>
    <row r="391" ht="15.75" customHeight="1" s="114"/>
    <row r="392" ht="15.75" customHeight="1" s="114"/>
    <row r="393" ht="15.75" customHeight="1" s="114"/>
    <row r="394" ht="15.75" customHeight="1" s="114"/>
    <row r="395" ht="15.75" customHeight="1" s="114"/>
    <row r="396" ht="15.75" customHeight="1" s="114"/>
    <row r="397" ht="15.75" customHeight="1" s="114"/>
    <row r="398" ht="15.75" customHeight="1" s="114"/>
    <row r="399" ht="15.75" customHeight="1" s="114"/>
    <row r="400" ht="15.75" customHeight="1" s="114"/>
    <row r="401" ht="15.75" customHeight="1" s="114"/>
    <row r="402" ht="15.75" customHeight="1" s="114"/>
    <row r="403" ht="15.75" customHeight="1" s="114"/>
    <row r="404" ht="15.75" customHeight="1" s="114"/>
    <row r="405" ht="15.75" customHeight="1" s="114"/>
    <row r="406" ht="15.75" customHeight="1" s="114"/>
    <row r="407" ht="15.75" customHeight="1" s="114"/>
    <row r="408" ht="15.75" customHeight="1" s="114"/>
    <row r="409" ht="15.75" customHeight="1" s="114"/>
    <row r="410" ht="15.75" customHeight="1" s="114"/>
    <row r="411" ht="15.75" customHeight="1" s="114"/>
    <row r="412" ht="15.75" customHeight="1" s="114"/>
    <row r="413" ht="15.75" customHeight="1" s="114"/>
    <row r="414" ht="15.75" customHeight="1" s="114"/>
    <row r="415" ht="15.75" customHeight="1" s="114"/>
    <row r="416" ht="15.75" customHeight="1" s="114"/>
    <row r="417" ht="15.75" customHeight="1" s="114"/>
    <row r="418" ht="15.75" customHeight="1" s="114"/>
    <row r="419" ht="15.75" customHeight="1" s="114"/>
    <row r="420" ht="15.75" customHeight="1" s="114"/>
    <row r="421" ht="15.75" customHeight="1" s="114"/>
    <row r="422" ht="15.75" customHeight="1" s="114"/>
    <row r="423" ht="15.75" customHeight="1" s="114"/>
    <row r="424" ht="15.75" customHeight="1" s="114"/>
    <row r="425" ht="15.75" customHeight="1" s="114"/>
    <row r="426" ht="15.75" customHeight="1" s="114"/>
    <row r="427" ht="15.75" customHeight="1" s="114"/>
    <row r="428" ht="15.75" customHeight="1" s="114"/>
    <row r="429" ht="15.75" customHeight="1" s="114"/>
    <row r="430" ht="15.75" customHeight="1" s="114"/>
    <row r="431" ht="15.75" customHeight="1" s="114"/>
    <row r="432" ht="15.75" customHeight="1" s="114"/>
    <row r="433" ht="15.75" customHeight="1" s="114"/>
    <row r="434" ht="15.75" customHeight="1" s="114"/>
    <row r="435" ht="15.75" customHeight="1" s="114"/>
    <row r="436" ht="15.75" customHeight="1" s="114"/>
    <row r="437" ht="15.75" customHeight="1" s="114"/>
    <row r="438" ht="15.75" customHeight="1" s="114"/>
    <row r="439" ht="15.75" customHeight="1" s="114"/>
    <row r="440" ht="15.75" customHeight="1" s="114"/>
    <row r="441" ht="15.75" customHeight="1" s="114"/>
    <row r="442" ht="15.75" customHeight="1" s="114"/>
    <row r="443" ht="15.75" customHeight="1" s="114"/>
    <row r="444" ht="15.75" customHeight="1" s="114"/>
    <row r="445" ht="15.75" customHeight="1" s="114"/>
    <row r="446" ht="15.75" customHeight="1" s="114"/>
    <row r="447" ht="15.75" customHeight="1" s="114"/>
    <row r="448" ht="15.75" customHeight="1" s="114"/>
    <row r="449" ht="15.75" customHeight="1" s="114"/>
    <row r="450" ht="15.75" customHeight="1" s="114"/>
    <row r="451" ht="15.75" customHeight="1" s="114"/>
    <row r="452" ht="15.75" customHeight="1" s="114"/>
    <row r="453" ht="15.75" customHeight="1" s="114"/>
    <row r="454" ht="15.75" customHeight="1" s="114"/>
    <row r="455" ht="15.75" customHeight="1" s="114"/>
    <row r="456" ht="15.75" customHeight="1" s="114"/>
    <row r="457" ht="15.75" customHeight="1" s="114"/>
    <row r="458" ht="15.75" customHeight="1" s="114"/>
    <row r="459" ht="15.75" customHeight="1" s="114"/>
    <row r="460" ht="15.75" customHeight="1" s="114"/>
    <row r="461" ht="15.75" customHeight="1" s="114"/>
    <row r="462" ht="15.75" customHeight="1" s="114"/>
    <row r="463" ht="15.75" customHeight="1" s="114"/>
    <row r="464" ht="15.75" customHeight="1" s="114"/>
    <row r="465" ht="15.75" customHeight="1" s="114"/>
    <row r="466" ht="15.75" customHeight="1" s="114"/>
    <row r="467" ht="15.75" customHeight="1" s="114"/>
    <row r="468" ht="15.75" customHeight="1" s="114"/>
    <row r="469" ht="15.75" customHeight="1" s="114"/>
    <row r="470" ht="15.75" customHeight="1" s="114"/>
    <row r="471" ht="15.75" customHeight="1" s="114"/>
    <row r="472" ht="15.75" customHeight="1" s="114"/>
    <row r="473" ht="15.75" customHeight="1" s="114"/>
    <row r="474" ht="15.75" customHeight="1" s="114"/>
    <row r="475" ht="15.75" customHeight="1" s="114"/>
    <row r="476" ht="15.75" customHeight="1" s="114"/>
    <row r="477" ht="15.75" customHeight="1" s="114"/>
    <row r="478" ht="15.75" customHeight="1" s="114"/>
    <row r="479" ht="15.75" customHeight="1" s="114"/>
    <row r="480" ht="15.75" customHeight="1" s="114"/>
    <row r="481" ht="15.75" customHeight="1" s="114"/>
    <row r="482" ht="15.75" customHeight="1" s="114"/>
    <row r="483" ht="15.75" customHeight="1" s="114"/>
    <row r="484" ht="15.75" customHeight="1" s="114"/>
    <row r="485" ht="15.75" customHeight="1" s="114"/>
    <row r="486" ht="15.75" customHeight="1" s="114"/>
    <row r="487" ht="15.75" customHeight="1" s="114"/>
    <row r="488" ht="15.75" customHeight="1" s="114"/>
    <row r="489" ht="15.75" customHeight="1" s="114"/>
    <row r="490" ht="15.75" customHeight="1" s="114"/>
    <row r="491" ht="15.75" customHeight="1" s="114"/>
    <row r="492" ht="15.75" customHeight="1" s="114"/>
    <row r="493" ht="15.75" customHeight="1" s="114"/>
    <row r="494" ht="15.75" customHeight="1" s="114"/>
    <row r="495" ht="15.75" customHeight="1" s="114"/>
    <row r="496" ht="15.75" customHeight="1" s="114"/>
    <row r="497" ht="15.75" customHeight="1" s="114"/>
    <row r="498" ht="15.75" customHeight="1" s="114"/>
    <row r="499" ht="15.75" customHeight="1" s="114"/>
    <row r="500" ht="15.75" customHeight="1" s="114"/>
    <row r="501" ht="15.75" customHeight="1" s="114"/>
    <row r="502" ht="15.75" customHeight="1" s="114"/>
    <row r="503" ht="15.75" customHeight="1" s="114"/>
    <row r="504" ht="15.75" customHeight="1" s="114"/>
    <row r="505" ht="15.75" customHeight="1" s="114"/>
    <row r="506" ht="15.75" customHeight="1" s="114"/>
    <row r="507" ht="15.75" customHeight="1" s="114"/>
    <row r="508" ht="15.75" customHeight="1" s="114"/>
    <row r="509" ht="15.75" customHeight="1" s="114"/>
    <row r="510" ht="15.75" customHeight="1" s="114"/>
    <row r="511" ht="15.75" customHeight="1" s="114"/>
    <row r="512" ht="15.75" customHeight="1" s="114"/>
    <row r="513" ht="15.75" customHeight="1" s="114"/>
    <row r="514" ht="15.75" customHeight="1" s="114"/>
    <row r="515" ht="15.75" customHeight="1" s="114"/>
    <row r="516" ht="15.75" customHeight="1" s="114"/>
    <row r="517" ht="15.75" customHeight="1" s="114"/>
    <row r="518" ht="15.75" customHeight="1" s="114"/>
    <row r="519" ht="15.75" customHeight="1" s="114"/>
    <row r="520" ht="15.75" customHeight="1" s="114"/>
    <row r="521" ht="15.75" customHeight="1" s="114"/>
    <row r="522" ht="15.75" customHeight="1" s="114"/>
    <row r="523" ht="15.75" customHeight="1" s="114"/>
    <row r="524" ht="15.75" customHeight="1" s="114"/>
    <row r="525" ht="15.75" customHeight="1" s="114"/>
    <row r="526" ht="15.75" customHeight="1" s="114"/>
    <row r="527" ht="15.75" customHeight="1" s="114"/>
    <row r="528" ht="15.75" customHeight="1" s="114"/>
    <row r="529" ht="15.75" customHeight="1" s="114"/>
    <row r="530" ht="15.75" customHeight="1" s="114"/>
    <row r="531" ht="15.75" customHeight="1" s="114"/>
    <row r="532" ht="15.75" customHeight="1" s="114"/>
    <row r="533" ht="15.75" customHeight="1" s="114"/>
    <row r="534" ht="15.75" customHeight="1" s="114"/>
    <row r="535" ht="15.75" customHeight="1" s="114"/>
    <row r="536" ht="15.75" customHeight="1" s="114"/>
    <row r="537" ht="15.75" customHeight="1" s="114"/>
    <row r="538" ht="15.75" customHeight="1" s="114"/>
    <row r="539" ht="15.75" customHeight="1" s="114"/>
    <row r="540" ht="15.75" customHeight="1" s="114"/>
    <row r="541" ht="15.75" customHeight="1" s="114"/>
    <row r="542" ht="15.75" customHeight="1" s="114"/>
    <row r="543" ht="15.75" customHeight="1" s="114"/>
    <row r="544" ht="15.75" customHeight="1" s="114"/>
    <row r="545" ht="15.75" customHeight="1" s="114"/>
    <row r="546" ht="15.75" customHeight="1" s="114"/>
    <row r="547" ht="15.75" customHeight="1" s="114"/>
    <row r="548" ht="15.75" customHeight="1" s="114"/>
    <row r="549" ht="15.75" customHeight="1" s="114"/>
    <row r="550" ht="15.75" customHeight="1" s="114"/>
    <row r="551" ht="15.75" customHeight="1" s="114"/>
    <row r="552" ht="15.75" customHeight="1" s="114"/>
    <row r="553" ht="15.75" customHeight="1" s="114"/>
    <row r="554" ht="15.75" customHeight="1" s="114"/>
    <row r="555" ht="15.75" customHeight="1" s="114"/>
    <row r="556" ht="15.75" customHeight="1" s="114"/>
    <row r="557" ht="15.75" customHeight="1" s="114"/>
    <row r="558" ht="15.75" customHeight="1" s="114"/>
    <row r="559" ht="15.75" customHeight="1" s="114"/>
    <row r="560" ht="15.75" customHeight="1" s="114"/>
    <row r="561" ht="15.75" customHeight="1" s="114"/>
    <row r="562" ht="15.75" customHeight="1" s="114"/>
    <row r="563" ht="15.75" customHeight="1" s="114"/>
    <row r="564" ht="15.75" customHeight="1" s="114"/>
    <row r="565" ht="15.75" customHeight="1" s="114"/>
    <row r="566" ht="15.75" customHeight="1" s="114"/>
    <row r="567" ht="15.75" customHeight="1" s="114"/>
    <row r="568" ht="15.75" customHeight="1" s="114"/>
    <row r="569" ht="15.75" customHeight="1" s="114"/>
    <row r="570" ht="15.75" customHeight="1" s="114"/>
    <row r="571" ht="15.75" customHeight="1" s="114"/>
    <row r="572" ht="15.75" customHeight="1" s="114"/>
    <row r="573" ht="15.75" customHeight="1" s="114"/>
    <row r="574" ht="15.75" customHeight="1" s="114"/>
    <row r="575" ht="15.75" customHeight="1" s="114"/>
    <row r="576" ht="15.75" customHeight="1" s="114"/>
    <row r="577" ht="15.75" customHeight="1" s="114"/>
    <row r="578" ht="15.75" customHeight="1" s="114"/>
    <row r="579" ht="15.75" customHeight="1" s="114"/>
    <row r="580" ht="15.75" customHeight="1" s="114"/>
    <row r="581" ht="15.75" customHeight="1" s="114"/>
    <row r="582" ht="15.75" customHeight="1" s="114"/>
    <row r="583" ht="15.75" customHeight="1" s="114"/>
    <row r="584" ht="15.75" customHeight="1" s="114"/>
    <row r="585" ht="15.75" customHeight="1" s="114"/>
    <row r="586" ht="15.75" customHeight="1" s="114"/>
    <row r="587" ht="15.75" customHeight="1" s="114"/>
    <row r="588" ht="15.75" customHeight="1" s="114"/>
    <row r="589" ht="15.75" customHeight="1" s="114"/>
    <row r="590" ht="15.75" customHeight="1" s="114"/>
    <row r="591" ht="15.75" customHeight="1" s="114"/>
    <row r="592" ht="15.75" customHeight="1" s="114"/>
    <row r="593" ht="15.75" customHeight="1" s="114"/>
    <row r="594" ht="15.75" customHeight="1" s="114"/>
    <row r="595" ht="15.75" customHeight="1" s="114"/>
    <row r="596" ht="15.75" customHeight="1" s="114"/>
    <row r="597" ht="15.75" customHeight="1" s="114"/>
    <row r="598" ht="15.75" customHeight="1" s="114"/>
    <row r="599" ht="15.75" customHeight="1" s="114"/>
    <row r="600" ht="15.75" customHeight="1" s="114"/>
    <row r="601" ht="15.75" customHeight="1" s="114"/>
    <row r="602" ht="15.75" customHeight="1" s="114"/>
    <row r="603" ht="15.75" customHeight="1" s="114"/>
    <row r="604" ht="15.75" customHeight="1" s="114"/>
    <row r="605" ht="15.75" customHeight="1" s="114"/>
    <row r="606" ht="15.75" customHeight="1" s="114"/>
    <row r="607" ht="15.75" customHeight="1" s="114"/>
    <row r="608" ht="15.75" customHeight="1" s="114"/>
    <row r="609" ht="15.75" customHeight="1" s="114"/>
    <row r="610" ht="15.75" customHeight="1" s="114"/>
    <row r="611" ht="15.75" customHeight="1" s="114"/>
    <row r="612" ht="15.75" customHeight="1" s="114"/>
    <row r="613" ht="15.75" customHeight="1" s="114"/>
    <row r="614" ht="15.75" customHeight="1" s="114"/>
    <row r="615" ht="15.75" customHeight="1" s="114"/>
    <row r="616" ht="15.75" customHeight="1" s="114"/>
    <row r="617" ht="15.75" customHeight="1" s="114"/>
    <row r="618" ht="15.75" customHeight="1" s="114"/>
    <row r="619" ht="15.75" customHeight="1" s="114"/>
    <row r="620" ht="15.75" customHeight="1" s="114"/>
    <row r="621" ht="15.75" customHeight="1" s="114"/>
    <row r="622" ht="15.75" customHeight="1" s="114"/>
    <row r="623" ht="15.75" customHeight="1" s="114"/>
    <row r="624" ht="15.75" customHeight="1" s="114"/>
    <row r="625" ht="15.75" customHeight="1" s="114"/>
    <row r="626" ht="15.75" customHeight="1" s="114"/>
    <row r="627" ht="15.75" customHeight="1" s="114"/>
    <row r="628" ht="15.75" customHeight="1" s="114"/>
    <row r="629" ht="15.75" customHeight="1" s="114"/>
    <row r="630" ht="15.75" customHeight="1" s="114"/>
    <row r="631" ht="15.75" customHeight="1" s="114"/>
    <row r="632" ht="15.75" customHeight="1" s="114"/>
    <row r="633" ht="15.75" customHeight="1" s="114"/>
    <row r="634" ht="15.75" customHeight="1" s="114"/>
    <row r="635" ht="15.75" customHeight="1" s="114"/>
    <row r="636" ht="15.75" customHeight="1" s="114"/>
    <row r="637" ht="15.75" customHeight="1" s="114"/>
    <row r="638" ht="15.75" customHeight="1" s="114"/>
    <row r="639" ht="15.75" customHeight="1" s="114"/>
    <row r="640" ht="15.75" customHeight="1" s="114"/>
    <row r="641" ht="15.75" customHeight="1" s="114"/>
    <row r="642" ht="15.75" customHeight="1" s="114"/>
    <row r="643" ht="15.75" customHeight="1" s="114"/>
    <row r="644" ht="15.75" customHeight="1" s="114"/>
    <row r="645" ht="15.75" customHeight="1" s="114"/>
    <row r="646" ht="15.75" customHeight="1" s="114"/>
    <row r="647" ht="15.75" customHeight="1" s="114"/>
    <row r="648" ht="15.75" customHeight="1" s="114"/>
    <row r="649" ht="15.75" customHeight="1" s="114"/>
    <row r="650" ht="15.75" customHeight="1" s="114"/>
    <row r="651" ht="15.75" customHeight="1" s="114"/>
    <row r="652" ht="15.75" customHeight="1" s="114"/>
    <row r="653" ht="15.75" customHeight="1" s="114"/>
    <row r="654" ht="15.75" customHeight="1" s="114"/>
    <row r="655" ht="15.75" customHeight="1" s="114"/>
    <row r="656" ht="15.75" customHeight="1" s="114"/>
    <row r="657" ht="15.75" customHeight="1" s="114"/>
    <row r="658" ht="15.75" customHeight="1" s="114"/>
    <row r="659" ht="15.75" customHeight="1" s="114"/>
    <row r="660" ht="15.75" customHeight="1" s="114"/>
    <row r="661" ht="15.75" customHeight="1" s="114"/>
    <row r="662" ht="15.75" customHeight="1" s="114"/>
    <row r="663" ht="15.75" customHeight="1" s="114"/>
    <row r="664" ht="15.75" customHeight="1" s="114"/>
    <row r="665" ht="15.75" customHeight="1" s="114"/>
    <row r="666" ht="15.75" customHeight="1" s="114"/>
    <row r="667" ht="15.75" customHeight="1" s="114"/>
    <row r="668" ht="15.75" customHeight="1" s="114"/>
    <row r="669" ht="15.75" customHeight="1" s="114"/>
    <row r="670" ht="15.75" customHeight="1" s="114"/>
    <row r="671" ht="15.75" customHeight="1" s="114"/>
    <row r="672" ht="15.75" customHeight="1" s="114"/>
    <row r="673" ht="15.75" customHeight="1" s="114"/>
    <row r="674" ht="15.75" customHeight="1" s="114"/>
    <row r="675" ht="15.75" customHeight="1" s="114"/>
    <row r="676" ht="15.75" customHeight="1" s="114"/>
    <row r="677" ht="15.75" customHeight="1" s="114"/>
    <row r="678" ht="15.75" customHeight="1" s="114"/>
    <row r="679" ht="15.75" customHeight="1" s="114"/>
    <row r="680" ht="15.75" customHeight="1" s="114"/>
    <row r="681" ht="15.75" customHeight="1" s="114"/>
    <row r="682" ht="15.75" customHeight="1" s="114"/>
    <row r="683" ht="15.75" customHeight="1" s="114"/>
    <row r="684" ht="15.75" customHeight="1" s="114"/>
    <row r="685" ht="15.75" customHeight="1" s="114"/>
    <row r="686" ht="15.75" customHeight="1" s="114"/>
    <row r="687" ht="15.75" customHeight="1" s="114"/>
    <row r="688" ht="15.75" customHeight="1" s="114"/>
    <row r="689" ht="15.75" customHeight="1" s="114"/>
    <row r="690" ht="15.75" customHeight="1" s="114"/>
    <row r="691" ht="15.75" customHeight="1" s="114"/>
    <row r="692" ht="15.75" customHeight="1" s="114"/>
    <row r="693" ht="15.75" customHeight="1" s="114"/>
    <row r="694" ht="15.75" customHeight="1" s="114"/>
    <row r="695" ht="15.75" customHeight="1" s="114"/>
    <row r="696" ht="15.75" customHeight="1" s="114"/>
    <row r="697" ht="15.75" customHeight="1" s="114"/>
    <row r="698" ht="15.75" customHeight="1" s="114"/>
    <row r="699" ht="15.75" customHeight="1" s="114"/>
    <row r="700" ht="15.75" customHeight="1" s="114"/>
    <row r="701" ht="15.75" customHeight="1" s="114"/>
    <row r="702" ht="15.75" customHeight="1" s="114"/>
    <row r="703" ht="15.75" customHeight="1" s="114"/>
    <row r="704" ht="15.75" customHeight="1" s="114"/>
    <row r="705" ht="15.75" customHeight="1" s="114"/>
    <row r="706" ht="15.75" customHeight="1" s="114"/>
    <row r="707" ht="15.75" customHeight="1" s="114"/>
    <row r="708" ht="15.75" customHeight="1" s="114"/>
    <row r="709" ht="15.75" customHeight="1" s="114"/>
    <row r="710" ht="15.75" customHeight="1" s="114"/>
    <row r="711" ht="15.75" customHeight="1" s="114"/>
    <row r="712" ht="15.75" customHeight="1" s="114"/>
    <row r="713" ht="15.75" customHeight="1" s="114"/>
    <row r="714" ht="15.75" customHeight="1" s="114"/>
    <row r="715" ht="15.75" customHeight="1" s="114"/>
    <row r="716" ht="15.75" customHeight="1" s="114"/>
    <row r="717" ht="15.75" customHeight="1" s="114"/>
    <row r="718" ht="15.75" customHeight="1" s="114"/>
    <row r="719" ht="15.75" customHeight="1" s="114"/>
    <row r="720" ht="15.75" customHeight="1" s="114"/>
    <row r="721" ht="15.75" customHeight="1" s="114"/>
    <row r="722" ht="15.75" customHeight="1" s="114"/>
    <row r="723" ht="15.75" customHeight="1" s="114"/>
    <row r="724" ht="15.75" customHeight="1" s="114"/>
    <row r="725" ht="15.75" customHeight="1" s="114"/>
    <row r="726" ht="15.75" customHeight="1" s="114"/>
    <row r="727" ht="15.75" customHeight="1" s="114"/>
    <row r="728" ht="15.75" customHeight="1" s="114"/>
    <row r="729" ht="15.75" customHeight="1" s="114"/>
    <row r="730" ht="15.75" customHeight="1" s="114"/>
    <row r="731" ht="15.75" customHeight="1" s="114"/>
    <row r="732" ht="15.75" customHeight="1" s="114"/>
    <row r="733" ht="15.75" customHeight="1" s="114"/>
    <row r="734" ht="15.75" customHeight="1" s="114"/>
    <row r="735" ht="15.75" customHeight="1" s="114"/>
    <row r="736" ht="15.75" customHeight="1" s="114"/>
    <row r="737" ht="15.75" customHeight="1" s="114"/>
    <row r="738" ht="15.75" customHeight="1" s="114"/>
    <row r="739" ht="15.75" customHeight="1" s="114"/>
    <row r="740" ht="15.75" customHeight="1" s="114"/>
    <row r="741" ht="15.75" customHeight="1" s="114"/>
    <row r="742" ht="15.75" customHeight="1" s="114"/>
    <row r="743" ht="15.75" customHeight="1" s="114"/>
    <row r="744" ht="15.75" customHeight="1" s="114"/>
    <row r="745" ht="15.75" customHeight="1" s="114"/>
    <row r="746" ht="15.75" customHeight="1" s="114"/>
    <row r="747" ht="15.75" customHeight="1" s="114"/>
    <row r="748" ht="15.75" customHeight="1" s="114"/>
    <row r="749" ht="15.75" customHeight="1" s="114"/>
    <row r="750" ht="15.75" customHeight="1" s="114"/>
    <row r="751" ht="15.75" customHeight="1" s="114"/>
    <row r="752" ht="15.75" customHeight="1" s="114"/>
    <row r="753" ht="15.75" customHeight="1" s="114"/>
    <row r="754" ht="15.75" customHeight="1" s="114"/>
    <row r="755" ht="15.75" customHeight="1" s="114"/>
    <row r="756" ht="15.75" customHeight="1" s="114"/>
    <row r="757" ht="15.75" customHeight="1" s="114"/>
    <row r="758" ht="15.75" customHeight="1" s="114"/>
    <row r="759" ht="15.75" customHeight="1" s="114"/>
    <row r="760" ht="15.75" customHeight="1" s="114"/>
    <row r="761" ht="15.75" customHeight="1" s="114"/>
    <row r="762" ht="15.75" customHeight="1" s="114"/>
    <row r="763" ht="15.75" customHeight="1" s="114"/>
    <row r="764" ht="15.75" customHeight="1" s="114"/>
    <row r="765" ht="15.75" customHeight="1" s="114"/>
    <row r="766" ht="15.75" customHeight="1" s="114"/>
    <row r="767" ht="15.75" customHeight="1" s="114"/>
    <row r="768" ht="15.75" customHeight="1" s="114"/>
    <row r="769" ht="15.75" customHeight="1" s="114"/>
    <row r="770" ht="15.75" customHeight="1" s="114"/>
    <row r="771" ht="15.75" customHeight="1" s="114"/>
    <row r="772" ht="15.75" customHeight="1" s="114"/>
    <row r="773" ht="15.75" customHeight="1" s="114"/>
    <row r="774" ht="15.75" customHeight="1" s="114"/>
    <row r="775" ht="15.75" customHeight="1" s="114"/>
    <row r="776" ht="15.75" customHeight="1" s="114"/>
    <row r="777" ht="15.75" customHeight="1" s="114"/>
    <row r="778" ht="15.75" customHeight="1" s="114"/>
    <row r="779" ht="15.75" customHeight="1" s="114"/>
    <row r="780" ht="15.75" customHeight="1" s="114"/>
    <row r="781" ht="15.75" customHeight="1" s="114"/>
    <row r="782" ht="15.75" customHeight="1" s="114"/>
    <row r="783" ht="15.75" customHeight="1" s="114"/>
    <row r="784" ht="15.75" customHeight="1" s="114"/>
    <row r="785" ht="15.75" customHeight="1" s="114"/>
    <row r="786" ht="15.75" customHeight="1" s="114"/>
    <row r="787" ht="15.75" customHeight="1" s="114"/>
    <row r="788" ht="15.75" customHeight="1" s="114"/>
    <row r="789" ht="15.75" customHeight="1" s="114"/>
    <row r="790" ht="15.75" customHeight="1" s="114"/>
    <row r="791" ht="15.75" customHeight="1" s="114"/>
    <row r="792" ht="15.75" customHeight="1" s="114"/>
    <row r="793" ht="15.75" customHeight="1" s="114"/>
    <row r="794" ht="15.75" customHeight="1" s="114"/>
    <row r="795" ht="15.75" customHeight="1" s="114"/>
    <row r="796" ht="15.75" customHeight="1" s="114"/>
    <row r="797" ht="15.75" customHeight="1" s="114"/>
    <row r="798" ht="15.75" customHeight="1" s="114"/>
    <row r="799" ht="15.75" customHeight="1" s="114"/>
    <row r="800" ht="15.75" customHeight="1" s="114"/>
    <row r="801" ht="15.75" customHeight="1" s="114"/>
    <row r="802" ht="15.75" customHeight="1" s="114"/>
    <row r="803" ht="15.75" customHeight="1" s="114"/>
    <row r="804" ht="15.75" customHeight="1" s="114"/>
    <row r="805" ht="15.75" customHeight="1" s="114"/>
    <row r="806" ht="15.75" customHeight="1" s="114"/>
    <row r="807" ht="15.75" customHeight="1" s="114"/>
    <row r="808" ht="15.75" customHeight="1" s="114"/>
    <row r="809" ht="15.75" customHeight="1" s="114"/>
    <row r="810" ht="15.75" customHeight="1" s="114"/>
    <row r="811" ht="15.75" customHeight="1" s="114"/>
    <row r="812" ht="15.75" customHeight="1" s="114"/>
    <row r="813" ht="15.75" customHeight="1" s="114"/>
    <row r="814" ht="15.75" customHeight="1" s="114"/>
    <row r="815" ht="15.75" customHeight="1" s="114"/>
    <row r="816" ht="15.75" customHeight="1" s="114"/>
    <row r="817" ht="15.75" customHeight="1" s="114"/>
    <row r="818" ht="15.75" customHeight="1" s="114"/>
    <row r="819" ht="15.75" customHeight="1" s="114"/>
    <row r="820" ht="15.75" customHeight="1" s="114"/>
    <row r="821" ht="15.75" customHeight="1" s="114"/>
    <row r="822" ht="15.75" customHeight="1" s="114"/>
    <row r="823" ht="15.75" customHeight="1" s="114"/>
    <row r="824" ht="15.75" customHeight="1" s="114"/>
    <row r="825" ht="15.75" customHeight="1" s="114"/>
    <row r="826" ht="15.75" customHeight="1" s="114"/>
    <row r="827" ht="15.75" customHeight="1" s="114"/>
    <row r="828" ht="15.75" customHeight="1" s="114"/>
    <row r="829" ht="15.75" customHeight="1" s="114"/>
    <row r="830" ht="15.75" customHeight="1" s="114"/>
    <row r="831" ht="15.75" customHeight="1" s="114"/>
    <row r="832" ht="15.75" customHeight="1" s="114"/>
    <row r="833" ht="15.75" customHeight="1" s="114"/>
    <row r="834" ht="15.75" customHeight="1" s="114"/>
    <row r="835" ht="15.75" customHeight="1" s="114"/>
    <row r="836" ht="15.75" customHeight="1" s="114"/>
    <row r="837" ht="15.75" customHeight="1" s="114"/>
    <row r="838" ht="15.75" customHeight="1" s="114"/>
    <row r="839" ht="15.75" customHeight="1" s="114"/>
    <row r="840" ht="15.75" customHeight="1" s="114"/>
    <row r="841" ht="15.75" customHeight="1" s="114"/>
    <row r="842" ht="15.75" customHeight="1" s="114"/>
    <row r="843" ht="15.75" customHeight="1" s="114"/>
    <row r="844" ht="15.75" customHeight="1" s="114"/>
    <row r="845" ht="15.75" customHeight="1" s="114"/>
    <row r="846" ht="15.75" customHeight="1" s="114"/>
    <row r="847" ht="15.75" customHeight="1" s="114"/>
    <row r="848" ht="15.75" customHeight="1" s="114"/>
    <row r="849" ht="15.75" customHeight="1" s="114"/>
    <row r="850" ht="15.75" customHeight="1" s="114"/>
    <row r="851" ht="15.75" customHeight="1" s="114"/>
    <row r="852" ht="15.75" customHeight="1" s="114"/>
    <row r="853" ht="15.75" customHeight="1" s="114"/>
    <row r="854" ht="15.75" customHeight="1" s="114"/>
    <row r="855" ht="15.75" customHeight="1" s="114"/>
    <row r="856" ht="15.75" customHeight="1" s="114"/>
    <row r="857" ht="15.75" customHeight="1" s="114"/>
    <row r="858" ht="15.75" customHeight="1" s="114"/>
    <row r="859" ht="15.75" customHeight="1" s="114"/>
    <row r="860" ht="15.75" customHeight="1" s="114"/>
    <row r="861" ht="15.75" customHeight="1" s="114"/>
    <row r="862" ht="15.75" customHeight="1" s="114"/>
    <row r="863" ht="15.75" customHeight="1" s="114"/>
    <row r="864" ht="15.75" customHeight="1" s="114"/>
    <row r="865" ht="15.75" customHeight="1" s="114"/>
    <row r="866" ht="15.75" customHeight="1" s="114"/>
    <row r="867" ht="15.75" customHeight="1" s="114"/>
    <row r="868" ht="15.75" customHeight="1" s="114"/>
    <row r="869" ht="15.75" customHeight="1" s="114"/>
    <row r="870" ht="15.75" customHeight="1" s="114"/>
    <row r="871" ht="15.75" customHeight="1" s="114"/>
    <row r="872" ht="15.75" customHeight="1" s="114"/>
    <row r="873" ht="15.75" customHeight="1" s="114"/>
    <row r="874" ht="15.75" customHeight="1" s="114"/>
    <row r="875" ht="15.75" customHeight="1" s="114"/>
    <row r="876" ht="15.75" customHeight="1" s="114"/>
    <row r="877" ht="15.75" customHeight="1" s="114"/>
    <row r="878" ht="15.75" customHeight="1" s="114"/>
    <row r="879" ht="15.75" customHeight="1" s="114"/>
    <row r="880" ht="15.75" customHeight="1" s="114"/>
    <row r="881" ht="15.75" customHeight="1" s="114"/>
    <row r="882" ht="15.75" customHeight="1" s="114"/>
    <row r="883" ht="15.75" customHeight="1" s="114"/>
    <row r="884" ht="15.75" customHeight="1" s="114"/>
    <row r="885" ht="15.75" customHeight="1" s="114"/>
    <row r="886" ht="15.75" customHeight="1" s="114"/>
    <row r="887" ht="15.75" customHeight="1" s="114"/>
    <row r="888" ht="15.75" customHeight="1" s="114"/>
    <row r="889" ht="15.75" customHeight="1" s="114"/>
    <row r="890" ht="15.75" customHeight="1" s="114"/>
    <row r="891" ht="15.75" customHeight="1" s="114"/>
    <row r="892" ht="15.75" customHeight="1" s="114"/>
    <row r="893" ht="15.75" customHeight="1" s="114"/>
    <row r="894" ht="15.75" customHeight="1" s="114"/>
    <row r="895" ht="15.75" customHeight="1" s="114"/>
    <row r="896" ht="15.75" customHeight="1" s="114"/>
    <row r="897" ht="15.75" customHeight="1" s="114"/>
    <row r="898" ht="15.75" customHeight="1" s="114"/>
    <row r="899" ht="15.75" customHeight="1" s="114"/>
    <row r="900" ht="15.75" customHeight="1" s="114"/>
    <row r="901" ht="15.75" customHeight="1" s="114"/>
    <row r="902" ht="15.75" customHeight="1" s="114"/>
    <row r="903" ht="15.75" customHeight="1" s="114"/>
    <row r="904" ht="15.75" customHeight="1" s="114"/>
    <row r="905" ht="15.75" customHeight="1" s="114"/>
    <row r="906" ht="15.75" customHeight="1" s="114"/>
    <row r="907" ht="15.75" customHeight="1" s="114"/>
    <row r="908" ht="15.75" customHeight="1" s="114"/>
    <row r="909" ht="15.75" customHeight="1" s="114"/>
    <row r="910" ht="15.75" customHeight="1" s="114"/>
    <row r="911" ht="15.75" customHeight="1" s="114"/>
    <row r="912" ht="15.75" customHeight="1" s="114"/>
    <row r="913" ht="15.75" customHeight="1" s="114"/>
    <row r="914" ht="15.75" customHeight="1" s="114"/>
    <row r="915" ht="15.75" customHeight="1" s="114"/>
    <row r="916" ht="15.75" customHeight="1" s="114"/>
    <row r="917" ht="15.75" customHeight="1" s="114"/>
    <row r="918" ht="15.75" customHeight="1" s="114"/>
    <row r="919" ht="15.75" customHeight="1" s="114"/>
    <row r="920" ht="15.75" customHeight="1" s="114"/>
    <row r="921" ht="15.75" customHeight="1" s="114"/>
    <row r="922" ht="15.75" customHeight="1" s="114"/>
    <row r="923" ht="15.75" customHeight="1" s="114"/>
    <row r="924" ht="15.75" customHeight="1" s="114"/>
    <row r="925" ht="15.75" customHeight="1" s="114"/>
    <row r="926" ht="15.75" customHeight="1" s="114"/>
    <row r="927" ht="15.75" customHeight="1" s="114"/>
    <row r="928" ht="15.75" customHeight="1" s="114"/>
    <row r="929" ht="15.75" customHeight="1" s="114"/>
    <row r="930" ht="15.75" customHeight="1" s="114"/>
    <row r="931" ht="15.75" customHeight="1" s="114"/>
    <row r="932" ht="15.75" customHeight="1" s="114"/>
    <row r="933" ht="15.75" customHeight="1" s="114"/>
    <row r="934" ht="15.75" customHeight="1" s="114"/>
    <row r="935" ht="15.75" customHeight="1" s="114"/>
    <row r="936" ht="15.75" customHeight="1" s="114"/>
    <row r="937" ht="15.75" customHeight="1" s="114"/>
    <row r="938" ht="15.75" customHeight="1" s="114"/>
    <row r="939" ht="15.75" customHeight="1" s="114"/>
    <row r="940" ht="15.75" customHeight="1" s="114"/>
    <row r="941" ht="15.75" customHeight="1" s="114"/>
    <row r="942" ht="15.75" customHeight="1" s="114"/>
    <row r="943" ht="15.75" customHeight="1" s="114"/>
    <row r="944" ht="15.75" customHeight="1" s="114"/>
    <row r="945" ht="15.75" customHeight="1" s="114"/>
    <row r="946" ht="15.75" customHeight="1" s="114"/>
    <row r="947" ht="15.75" customHeight="1" s="114"/>
    <row r="948" ht="15.75" customHeight="1" s="114"/>
    <row r="949" ht="15.75" customHeight="1" s="114"/>
    <row r="950" ht="15.75" customHeight="1" s="114"/>
    <row r="951" ht="15.75" customHeight="1" s="114"/>
    <row r="952" ht="15.75" customHeight="1" s="114"/>
    <row r="953" ht="15.75" customHeight="1" s="114"/>
    <row r="954" ht="15.75" customHeight="1" s="114"/>
    <row r="955" ht="15.75" customHeight="1" s="114"/>
    <row r="956" ht="15.75" customHeight="1" s="114"/>
    <row r="957" ht="15.75" customHeight="1" s="114"/>
    <row r="958" ht="15.75" customHeight="1" s="114"/>
    <row r="959" ht="15.75" customHeight="1" s="114"/>
    <row r="960" ht="15.75" customHeight="1" s="114"/>
    <row r="961" ht="15.75" customHeight="1" s="114"/>
    <row r="962" ht="15.75" customHeight="1" s="114"/>
    <row r="963" ht="15.75" customHeight="1" s="114"/>
    <row r="964" ht="15.75" customHeight="1" s="114"/>
    <row r="965" ht="15.75" customHeight="1" s="114"/>
    <row r="966" ht="15.75" customHeight="1" s="114"/>
    <row r="967" ht="15.75" customHeight="1" s="114"/>
    <row r="968" ht="15.75" customHeight="1" s="114"/>
    <row r="969" ht="15.75" customHeight="1" s="114"/>
    <row r="970" ht="15.75" customHeight="1" s="114"/>
    <row r="971" ht="15.75" customHeight="1" s="114"/>
    <row r="972" ht="15.75" customHeight="1" s="114"/>
    <row r="973" ht="15.75" customHeight="1" s="114"/>
    <row r="974" ht="15.75" customHeight="1" s="114"/>
    <row r="975" ht="15.75" customHeight="1" s="114"/>
    <row r="976" ht="15.75" customHeight="1" s="114"/>
    <row r="977" ht="15.75" customHeight="1" s="114"/>
    <row r="978" ht="15.75" customHeight="1" s="114"/>
    <row r="979" ht="15.75" customHeight="1" s="114"/>
    <row r="980" ht="15.75" customHeight="1" s="114"/>
    <row r="981" ht="15.75" customHeight="1" s="114"/>
    <row r="982" ht="15.75" customHeight="1" s="114"/>
    <row r="983" ht="15.75" customHeight="1" s="114"/>
    <row r="984" ht="15.75" customHeight="1" s="114"/>
    <row r="985" ht="15.75" customHeight="1" s="114"/>
    <row r="986" ht="15.75" customHeight="1" s="114"/>
    <row r="987" ht="15.75" customHeight="1" s="114"/>
    <row r="988" ht="15.75" customHeight="1" s="114"/>
    <row r="989" ht="15.75" customHeight="1" s="114"/>
    <row r="990" ht="15.75" customHeight="1" s="114"/>
    <row r="991" ht="15.75" customHeight="1" s="114"/>
    <row r="992" ht="15.75" customHeight="1" s="114"/>
    <row r="993" ht="15.75" customHeight="1" s="114"/>
    <row r="994" ht="15.75" customHeight="1" s="114"/>
    <row r="995" ht="15.75" customHeight="1" s="114"/>
    <row r="996" ht="15.75" customHeight="1" s="114"/>
    <row r="997" ht="15.75" customHeight="1" s="114"/>
    <row r="998" ht="15.75" customHeight="1" s="114"/>
    <row r="999" ht="15.75" customHeight="1" s="114"/>
    <row r="1000" ht="15.75" customHeight="1" s="114"/>
  </sheetData>
  <pageMargins left="0.7" right="0.7" top="0.75" bottom="0.75" header="0" footer="0"/>
  <pageSetup orientation="portrait" paperSize="9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ColWidth="12.63" defaultRowHeight="15" customHeight="1"/>
  <cols>
    <col width="8.630000000000001" customWidth="1" style="114" min="1" max="7"/>
    <col width="14" customWidth="1" style="114" min="8" max="8"/>
    <col width="11" customWidth="1" style="114" min="9" max="9"/>
  </cols>
  <sheetData>
    <row r="1" ht="14.25" customHeight="1" s="114">
      <c r="A1" s="32" t="inlineStr">
        <is>
          <t>social dynamics numbers</t>
        </is>
      </c>
      <c r="H1" s="32" t="inlineStr">
        <is>
          <t>poligon</t>
        </is>
      </c>
      <c r="I1" s="32" t="inlineStr">
        <is>
          <t># wolves</t>
        </is>
      </c>
    </row>
    <row r="2" ht="14.25" customHeight="1" s="114">
      <c r="A2" s="32" t="inlineStr">
        <is>
          <t>#wolves in packs</t>
        </is>
      </c>
      <c r="B2" s="32" t="inlineStr">
        <is>
          <t>#wolves in groups</t>
        </is>
      </c>
      <c r="C2" s="32" t="inlineStr">
        <is>
          <t>#unknown</t>
        </is>
      </c>
      <c r="D2" s="32" t="inlineStr">
        <is>
          <t>#lone wolves</t>
        </is>
      </c>
      <c r="H2" s="97" t="inlineStr">
        <is>
          <t>makhfi</t>
        </is>
      </c>
      <c r="I2" s="32">
        <f>COUNTIF('נתוני זיהוי זאבים'!$D$2:$D$1048576, 'גרפים'!$H2)</f>
        <v/>
      </c>
    </row>
    <row r="3" ht="14.25" customHeight="1" s="114">
      <c r="A3" s="32">
        <f>COUNTIF('נתוני זיהוי זאבים'!G:G, "*pack*")</f>
        <v/>
      </c>
      <c r="B3" s="32">
        <f>COUNTIF('נתוני זיהוי זאבים'!G:G, "*group*")</f>
        <v/>
      </c>
      <c r="C3" s="32">
        <f>COUNTIF('נתוני זיהוי זאבים'!G:G, "*unknown*")</f>
        <v/>
      </c>
      <c r="D3" s="32">
        <f>COUNTIF('נתוני זיהוי זאבים'!G:G, "*lone*")</f>
        <v/>
      </c>
      <c r="H3" s="98" t="inlineStr">
        <is>
          <t>hazeka</t>
        </is>
      </c>
      <c r="I3" s="32">
        <f>COUNTIF('נתוני זיהוי זאבים'!$D$2:$D$1048576, 'גרפים'!$H3)</f>
        <v/>
      </c>
    </row>
    <row r="4" ht="14.25" customHeight="1" s="114">
      <c r="H4" s="98" t="inlineStr">
        <is>
          <t>Keshet-Yonatan</t>
        </is>
      </c>
      <c r="I4" s="32">
        <f>COUNTIF('נתוני זיהוי זאבים'!$D$2:$D$1048576, 'גרפים'!$H4)</f>
        <v/>
      </c>
    </row>
    <row r="5" ht="14.25" customHeight="1" s="114">
      <c r="H5" s="98" t="inlineStr">
        <is>
          <t>Saki</t>
        </is>
      </c>
      <c r="I5" s="32">
        <f>COUNTIF('נתוני זיהוי זאבים'!$D$2:$D$1048576, 'גרפים'!$H5)</f>
        <v/>
      </c>
    </row>
    <row r="6" ht="14.25" customHeight="1" s="114">
      <c r="H6" s="98" t="inlineStr">
        <is>
          <t>Firing-Zone</t>
        </is>
      </c>
      <c r="I6" s="32">
        <f>COUNTIF('נתוני זיהוי זאבים'!$D$2:$D$1048576, 'גרפים'!$H6)</f>
        <v/>
      </c>
    </row>
    <row r="7" ht="14.25" customHeight="1" s="114">
      <c r="H7" s="98" t="inlineStr">
        <is>
          <t>Yehodiya</t>
        </is>
      </c>
      <c r="I7" s="32">
        <f>COUNTIF('נתוני זיהוי זאבים'!$D$2:$D$1048576, 'גרפים'!$H7)</f>
        <v/>
      </c>
    </row>
    <row r="8" ht="14.25" customHeight="1" s="114">
      <c r="H8" s="98" t="inlineStr">
        <is>
          <t>Slopes</t>
        </is>
      </c>
      <c r="I8" s="32">
        <f>COUNTIF('נתוני זיהוי זאבים'!$D$2:$D$1048576, 'גרפים'!$H8)</f>
        <v/>
      </c>
    </row>
    <row r="9" ht="14.25" customHeight="1" s="114">
      <c r="H9" s="98" t="inlineStr">
        <is>
          <t>Odem</t>
        </is>
      </c>
      <c r="I9" s="32">
        <f>COUNTIF('נתוני זיהוי זאבים'!$D$2:$D$1048576, 'גרפים'!$H9)</f>
        <v/>
      </c>
    </row>
    <row r="10" ht="14.25" customHeight="1" s="114">
      <c r="H10" s="98" t="inlineStr">
        <is>
          <t>Snir</t>
        </is>
      </c>
      <c r="I10" s="32">
        <f>COUNTIF('נתוני זיהוי זאבים'!$D$2:$D$1048576, 'גרפים'!$H10)</f>
        <v/>
      </c>
    </row>
    <row r="11" ht="14.25" customHeight="1" s="114">
      <c r="H11" s="98" t="inlineStr">
        <is>
          <t>masade</t>
        </is>
      </c>
      <c r="I11" s="32">
        <f>COUNTIF('נתוני זיהוי זאבים'!$D$2:$D$1048576, 'גרפים'!$H11)</f>
        <v/>
      </c>
    </row>
    <row r="12" ht="14.25" customHeight="1" s="114">
      <c r="H12" s="98" t="inlineStr">
        <is>
          <t>Shaal</t>
        </is>
      </c>
      <c r="I12" s="32">
        <f>COUNTIF('נתוני זיהוי זאבים'!$D$2:$D$1048576, 'גרפים'!$H12)</f>
        <v/>
      </c>
    </row>
    <row r="13" ht="14.25" customHeight="1" s="114"/>
    <row r="14" ht="14.25" customHeight="1" s="114"/>
    <row r="15" ht="14.25" customHeight="1" s="114"/>
    <row r="16" ht="14.25" customHeight="1" s="114"/>
    <row r="17" ht="14.25" customHeight="1" s="114"/>
    <row r="18" ht="14.25" customHeight="1" s="114"/>
    <row r="19" ht="14.25" customHeight="1" s="114"/>
    <row r="20" ht="14.25" customHeight="1" s="114"/>
    <row r="21" ht="14.25" customHeight="1" s="114"/>
    <row r="22" ht="14.25" customHeight="1" s="114"/>
    <row r="23" ht="14.25" customHeight="1" s="114"/>
    <row r="24" ht="14.25" customHeight="1" s="114"/>
    <row r="25" ht="14.25" customHeight="1" s="114"/>
    <row r="26" ht="14.25" customHeight="1" s="114"/>
    <row r="27" ht="14.25" customHeight="1" s="114"/>
    <row r="28" ht="14.25" customHeight="1" s="114"/>
    <row r="29" ht="14.25" customHeight="1" s="114"/>
    <row r="30" ht="14.25" customHeight="1" s="114"/>
    <row r="31" ht="14.25" customHeight="1" s="114"/>
    <row r="32" ht="14.25" customHeight="1" s="114"/>
    <row r="33" ht="14.25" customHeight="1" s="114"/>
    <row r="34" ht="14.25" customHeight="1" s="114"/>
    <row r="35" ht="14.25" customHeight="1" s="114"/>
    <row r="36" ht="14.25" customHeight="1" s="114"/>
    <row r="37" ht="14.25" customHeight="1" s="114"/>
    <row r="38" ht="14.25" customHeight="1" s="114"/>
    <row r="39" ht="14.25" customHeight="1" s="114"/>
    <row r="40" ht="14.25" customHeight="1" s="114"/>
    <row r="41" ht="14.25" customHeight="1" s="114"/>
    <row r="42" ht="14.25" customHeight="1" s="114"/>
    <row r="43" ht="14.25" customHeight="1" s="114"/>
    <row r="44" ht="14.25" customHeight="1" s="114"/>
    <row r="45" ht="14.25" customHeight="1" s="114"/>
    <row r="46" ht="14.25" customHeight="1" s="114"/>
    <row r="47" ht="14.25" customHeight="1" s="114"/>
    <row r="48" ht="14.25" customHeight="1" s="114"/>
    <row r="49" ht="14.25" customHeight="1" s="114"/>
    <row r="50" ht="14.25" customHeight="1" s="114"/>
    <row r="51" ht="14.25" customHeight="1" s="114"/>
    <row r="52" ht="14.25" customHeight="1" s="114"/>
    <row r="53" ht="14.25" customHeight="1" s="114"/>
    <row r="54" ht="14.25" customHeight="1" s="114"/>
    <row r="55" ht="14.25" customHeight="1" s="114"/>
    <row r="56" ht="14.25" customHeight="1" s="114"/>
    <row r="57" ht="14.25" customHeight="1" s="114"/>
    <row r="58" ht="14.25" customHeight="1" s="114"/>
    <row r="59" ht="14.25" customHeight="1" s="114"/>
    <row r="60" ht="14.25" customHeight="1" s="114"/>
    <row r="61" ht="14.25" customHeight="1" s="114"/>
    <row r="62" ht="14.25" customHeight="1" s="114"/>
    <row r="63" ht="14.25" customHeight="1" s="114"/>
    <row r="64" ht="14.25" customHeight="1" s="114"/>
    <row r="65" ht="14.25" customHeight="1" s="114"/>
    <row r="66" ht="14.25" customHeight="1" s="114"/>
    <row r="67" ht="14.25" customHeight="1" s="114"/>
    <row r="68" ht="14.25" customHeight="1" s="114"/>
    <row r="69" ht="14.25" customHeight="1" s="114"/>
    <row r="70" ht="14.25" customHeight="1" s="114"/>
    <row r="71" ht="14.25" customHeight="1" s="114"/>
    <row r="72" ht="14.25" customHeight="1" s="114"/>
    <row r="73" ht="14.25" customHeight="1" s="114"/>
    <row r="74" ht="14.25" customHeight="1" s="114"/>
    <row r="75" ht="14.25" customHeight="1" s="114"/>
    <row r="76" ht="14.25" customHeight="1" s="114"/>
    <row r="77" ht="14.25" customHeight="1" s="114"/>
    <row r="78" ht="14.25" customHeight="1" s="114"/>
    <row r="79" ht="14.25" customHeight="1" s="114"/>
    <row r="80" ht="14.25" customHeight="1" s="114"/>
    <row r="81" ht="14.25" customHeight="1" s="114"/>
    <row r="82" ht="14.25" customHeight="1" s="114"/>
    <row r="83" ht="14.25" customHeight="1" s="114"/>
    <row r="84" ht="14.25" customHeight="1" s="114"/>
    <row r="85" ht="14.25" customHeight="1" s="114"/>
    <row r="86" ht="14.25" customHeight="1" s="114"/>
    <row r="87" ht="14.25" customHeight="1" s="114"/>
    <row r="88" ht="14.25" customHeight="1" s="114"/>
    <row r="89" ht="14.25" customHeight="1" s="114"/>
    <row r="90" ht="14.25" customHeight="1" s="114"/>
    <row r="91" ht="14.25" customHeight="1" s="114"/>
    <row r="92" ht="14.25" customHeight="1" s="114"/>
    <row r="93" ht="14.25" customHeight="1" s="114"/>
    <row r="94" ht="14.25" customHeight="1" s="114"/>
    <row r="95" ht="14.25" customHeight="1" s="114"/>
    <row r="96" ht="14.25" customHeight="1" s="114"/>
    <row r="97" ht="14.25" customHeight="1" s="114"/>
    <row r="98" ht="14.25" customHeight="1" s="114"/>
    <row r="99" ht="14.25" customHeight="1" s="114"/>
    <row r="100" ht="14.25" customHeight="1" s="114"/>
    <row r="101" ht="14.25" customHeight="1" s="114"/>
    <row r="102" ht="14.25" customHeight="1" s="114"/>
    <row r="103" ht="14.25" customHeight="1" s="114"/>
    <row r="104" ht="14.25" customHeight="1" s="114"/>
    <row r="105" ht="14.25" customHeight="1" s="114"/>
    <row r="106" ht="14.25" customHeight="1" s="114"/>
    <row r="107" ht="14.25" customHeight="1" s="114"/>
    <row r="108" ht="14.25" customHeight="1" s="114"/>
    <row r="109" ht="14.25" customHeight="1" s="114"/>
    <row r="110" ht="14.25" customHeight="1" s="114"/>
    <row r="111" ht="14.25" customHeight="1" s="114"/>
    <row r="112" ht="14.25" customHeight="1" s="114"/>
    <row r="113" ht="14.25" customHeight="1" s="114"/>
    <row r="114" ht="14.25" customHeight="1" s="114"/>
    <row r="115" ht="14.25" customHeight="1" s="114"/>
    <row r="116" ht="14.25" customHeight="1" s="114"/>
    <row r="117" ht="14.25" customHeight="1" s="114"/>
    <row r="118" ht="14.25" customHeight="1" s="114"/>
    <row r="119" ht="14.25" customHeight="1" s="114"/>
    <row r="120" ht="14.25" customHeight="1" s="114"/>
    <row r="121" ht="14.25" customHeight="1" s="114"/>
    <row r="122" ht="14.25" customHeight="1" s="114"/>
    <row r="123" ht="14.25" customHeight="1" s="114"/>
    <row r="124" ht="14.25" customHeight="1" s="114"/>
    <row r="125" ht="14.25" customHeight="1" s="114"/>
    <row r="126" ht="14.25" customHeight="1" s="114"/>
    <row r="127" ht="14.25" customHeight="1" s="114"/>
    <row r="128" ht="14.25" customHeight="1" s="114"/>
    <row r="129" ht="14.25" customHeight="1" s="114"/>
    <row r="130" ht="14.25" customHeight="1" s="114"/>
    <row r="131" ht="14.25" customHeight="1" s="114"/>
    <row r="132" ht="14.25" customHeight="1" s="114"/>
    <row r="133" ht="14.25" customHeight="1" s="114"/>
    <row r="134" ht="14.25" customHeight="1" s="114"/>
    <row r="135" ht="14.25" customHeight="1" s="114"/>
    <row r="136" ht="14.25" customHeight="1" s="114"/>
    <row r="137" ht="14.25" customHeight="1" s="114"/>
    <row r="138" ht="14.25" customHeight="1" s="114"/>
    <row r="139" ht="14.25" customHeight="1" s="114"/>
    <row r="140" ht="14.25" customHeight="1" s="114"/>
    <row r="141" ht="14.25" customHeight="1" s="114"/>
    <row r="142" ht="14.25" customHeight="1" s="114"/>
    <row r="143" ht="14.25" customHeight="1" s="114"/>
    <row r="144" ht="14.25" customHeight="1" s="114"/>
    <row r="145" ht="14.25" customHeight="1" s="114"/>
    <row r="146" ht="14.25" customHeight="1" s="114"/>
    <row r="147" ht="14.25" customHeight="1" s="114"/>
    <row r="148" ht="14.25" customHeight="1" s="114"/>
    <row r="149" ht="14.25" customHeight="1" s="114"/>
    <row r="150" ht="14.25" customHeight="1" s="114"/>
    <row r="151" ht="14.25" customHeight="1" s="114"/>
    <row r="152" ht="14.25" customHeight="1" s="114"/>
    <row r="153" ht="14.25" customHeight="1" s="114"/>
    <row r="154" ht="14.25" customHeight="1" s="114"/>
    <row r="155" ht="14.25" customHeight="1" s="114"/>
    <row r="156" ht="14.25" customHeight="1" s="114"/>
    <row r="157" ht="14.25" customHeight="1" s="114"/>
    <row r="158" ht="14.25" customHeight="1" s="114"/>
    <row r="159" ht="14.25" customHeight="1" s="114"/>
    <row r="160" ht="14.25" customHeight="1" s="114"/>
    <row r="161" ht="14.25" customHeight="1" s="114"/>
    <row r="162" ht="14.25" customHeight="1" s="114"/>
    <row r="163" ht="14.25" customHeight="1" s="114"/>
    <row r="164" ht="14.25" customHeight="1" s="114"/>
    <row r="165" ht="14.25" customHeight="1" s="114"/>
    <row r="166" ht="14.25" customHeight="1" s="114"/>
    <row r="167" ht="14.25" customHeight="1" s="114"/>
    <row r="168" ht="14.25" customHeight="1" s="114"/>
    <row r="169" ht="14.25" customHeight="1" s="114"/>
    <row r="170" ht="14.25" customHeight="1" s="114"/>
    <row r="171" ht="14.25" customHeight="1" s="114"/>
    <row r="172" ht="14.25" customHeight="1" s="114"/>
    <row r="173" ht="14.25" customHeight="1" s="114"/>
    <row r="174" ht="14.25" customHeight="1" s="114"/>
    <row r="175" ht="14.25" customHeight="1" s="114"/>
    <row r="176" ht="14.25" customHeight="1" s="114"/>
    <row r="177" ht="14.25" customHeight="1" s="114"/>
    <row r="178" ht="14.25" customHeight="1" s="114"/>
    <row r="179" ht="14.25" customHeight="1" s="114"/>
    <row r="180" ht="14.25" customHeight="1" s="114"/>
    <row r="181" ht="14.25" customHeight="1" s="114"/>
    <row r="182" ht="14.25" customHeight="1" s="114"/>
    <row r="183" ht="14.25" customHeight="1" s="114"/>
    <row r="184" ht="14.25" customHeight="1" s="114"/>
    <row r="185" ht="14.25" customHeight="1" s="114"/>
    <row r="186" ht="14.25" customHeight="1" s="114"/>
    <row r="187" ht="14.25" customHeight="1" s="114"/>
    <row r="188" ht="14.25" customHeight="1" s="114"/>
    <row r="189" ht="14.25" customHeight="1" s="114"/>
    <row r="190" ht="14.25" customHeight="1" s="114"/>
    <row r="191" ht="14.25" customHeight="1" s="114"/>
    <row r="192" ht="14.25" customHeight="1" s="114"/>
    <row r="193" ht="14.25" customHeight="1" s="114"/>
    <row r="194" ht="14.25" customHeight="1" s="114"/>
    <row r="195" ht="14.25" customHeight="1" s="114"/>
    <row r="196" ht="14.25" customHeight="1" s="114"/>
    <row r="197" ht="14.25" customHeight="1" s="114"/>
    <row r="198" ht="14.25" customHeight="1" s="114"/>
    <row r="199" ht="14.25" customHeight="1" s="114"/>
    <row r="200" ht="14.25" customHeight="1" s="114"/>
    <row r="201" ht="14.25" customHeight="1" s="114"/>
    <row r="202" ht="14.25" customHeight="1" s="114"/>
    <row r="203" ht="14.25" customHeight="1" s="114"/>
    <row r="204" ht="14.25" customHeight="1" s="114"/>
    <row r="205" ht="14.25" customHeight="1" s="114"/>
    <row r="206" ht="14.25" customHeight="1" s="114"/>
    <row r="207" ht="14.25" customHeight="1" s="114"/>
    <row r="208" ht="14.25" customHeight="1" s="114"/>
    <row r="209" ht="14.25" customHeight="1" s="114"/>
    <row r="210" ht="14.25" customHeight="1" s="114"/>
    <row r="211" ht="14.25" customHeight="1" s="114"/>
    <row r="212" ht="14.25" customHeight="1" s="114"/>
    <row r="213" ht="14.25" customHeight="1" s="114"/>
    <row r="214" ht="14.25" customHeight="1" s="114"/>
    <row r="215" ht="14.25" customHeight="1" s="114"/>
    <row r="216" ht="14.25" customHeight="1" s="114"/>
    <row r="217" ht="14.25" customHeight="1" s="114"/>
    <row r="218" ht="14.25" customHeight="1" s="114"/>
    <row r="219" ht="14.25" customHeight="1" s="114"/>
    <row r="220" ht="14.25" customHeight="1" s="114"/>
    <row r="221" ht="15.75" customHeight="1" s="114"/>
    <row r="222" ht="15.75" customHeight="1" s="114"/>
    <row r="223" ht="15.75" customHeight="1" s="114"/>
    <row r="224" ht="15.75" customHeight="1" s="114"/>
    <row r="225" ht="15.75" customHeight="1" s="114"/>
    <row r="226" ht="15.75" customHeight="1" s="114"/>
    <row r="227" ht="15.75" customHeight="1" s="114"/>
    <row r="228" ht="15.75" customHeight="1" s="114"/>
    <row r="229" ht="15.75" customHeight="1" s="114"/>
    <row r="230" ht="15.75" customHeight="1" s="114"/>
    <row r="231" ht="15.75" customHeight="1" s="114"/>
    <row r="232" ht="15.75" customHeight="1" s="114"/>
    <row r="233" ht="15.75" customHeight="1" s="114"/>
    <row r="234" ht="15.75" customHeight="1" s="114"/>
    <row r="235" ht="15.75" customHeight="1" s="114"/>
    <row r="236" ht="15.75" customHeight="1" s="114"/>
    <row r="237" ht="15.75" customHeight="1" s="114"/>
    <row r="238" ht="15.75" customHeight="1" s="114"/>
    <row r="239" ht="15.75" customHeight="1" s="114"/>
    <row r="240" ht="15.75" customHeight="1" s="114"/>
    <row r="241" ht="15.75" customHeight="1" s="114"/>
    <row r="242" ht="15.75" customHeight="1" s="114"/>
    <row r="243" ht="15.75" customHeight="1" s="114"/>
    <row r="244" ht="15.75" customHeight="1" s="114"/>
    <row r="245" ht="15.75" customHeight="1" s="114"/>
    <row r="246" ht="15.75" customHeight="1" s="114"/>
    <row r="247" ht="15.75" customHeight="1" s="114"/>
    <row r="248" ht="15.75" customHeight="1" s="114"/>
    <row r="249" ht="15.75" customHeight="1" s="114"/>
    <row r="250" ht="15.75" customHeight="1" s="114"/>
    <row r="251" ht="15.75" customHeight="1" s="114"/>
    <row r="252" ht="15.75" customHeight="1" s="114"/>
    <row r="253" ht="15.75" customHeight="1" s="114"/>
    <row r="254" ht="15.75" customHeight="1" s="114"/>
    <row r="255" ht="15.75" customHeight="1" s="114"/>
    <row r="256" ht="15.75" customHeight="1" s="114"/>
    <row r="257" ht="15.75" customHeight="1" s="114"/>
    <row r="258" ht="15.75" customHeight="1" s="114"/>
    <row r="259" ht="15.75" customHeight="1" s="114"/>
    <row r="260" ht="15.75" customHeight="1" s="114"/>
    <row r="261" ht="15.75" customHeight="1" s="114"/>
    <row r="262" ht="15.75" customHeight="1" s="114"/>
    <row r="263" ht="15.75" customHeight="1" s="114"/>
    <row r="264" ht="15.75" customHeight="1" s="114"/>
    <row r="265" ht="15.75" customHeight="1" s="114"/>
    <row r="266" ht="15.75" customHeight="1" s="114"/>
    <row r="267" ht="15.75" customHeight="1" s="114"/>
    <row r="268" ht="15.75" customHeight="1" s="114"/>
    <row r="269" ht="15.75" customHeight="1" s="114"/>
    <row r="270" ht="15.75" customHeight="1" s="114"/>
    <row r="271" ht="15.75" customHeight="1" s="114"/>
    <row r="272" ht="15.75" customHeight="1" s="114"/>
    <row r="273" ht="15.75" customHeight="1" s="114"/>
    <row r="274" ht="15.75" customHeight="1" s="114"/>
    <row r="275" ht="15.75" customHeight="1" s="114"/>
    <row r="276" ht="15.75" customHeight="1" s="114"/>
    <row r="277" ht="15.75" customHeight="1" s="114"/>
    <row r="278" ht="15.75" customHeight="1" s="114"/>
    <row r="279" ht="15.75" customHeight="1" s="114"/>
    <row r="280" ht="15.75" customHeight="1" s="114"/>
    <row r="281" ht="15.75" customHeight="1" s="114"/>
    <row r="282" ht="15.75" customHeight="1" s="114"/>
    <row r="283" ht="15.75" customHeight="1" s="114"/>
    <row r="284" ht="15.75" customHeight="1" s="114"/>
    <row r="285" ht="15.75" customHeight="1" s="114"/>
    <row r="286" ht="15.75" customHeight="1" s="114"/>
    <row r="287" ht="15.75" customHeight="1" s="114"/>
    <row r="288" ht="15.75" customHeight="1" s="114"/>
    <row r="289" ht="15.75" customHeight="1" s="114"/>
    <row r="290" ht="15.75" customHeight="1" s="114"/>
    <row r="291" ht="15.75" customHeight="1" s="114"/>
    <row r="292" ht="15.75" customHeight="1" s="114"/>
    <row r="293" ht="15.75" customHeight="1" s="114"/>
    <row r="294" ht="15.75" customHeight="1" s="114"/>
    <row r="295" ht="15.75" customHeight="1" s="114"/>
    <row r="296" ht="15.75" customHeight="1" s="114"/>
    <row r="297" ht="15.75" customHeight="1" s="114"/>
    <row r="298" ht="15.75" customHeight="1" s="114"/>
    <row r="299" ht="15.75" customHeight="1" s="114"/>
    <row r="300" ht="15.75" customHeight="1" s="114"/>
    <row r="301" ht="15.75" customHeight="1" s="114"/>
    <row r="302" ht="15.75" customHeight="1" s="114"/>
    <row r="303" ht="15.75" customHeight="1" s="114"/>
    <row r="304" ht="15.75" customHeight="1" s="114"/>
    <row r="305" ht="15.75" customHeight="1" s="114"/>
    <row r="306" ht="15.75" customHeight="1" s="114"/>
    <row r="307" ht="15.75" customHeight="1" s="114"/>
    <row r="308" ht="15.75" customHeight="1" s="114"/>
    <row r="309" ht="15.75" customHeight="1" s="114"/>
    <row r="310" ht="15.75" customHeight="1" s="114"/>
    <row r="311" ht="15.75" customHeight="1" s="114"/>
    <row r="312" ht="15.75" customHeight="1" s="114"/>
    <row r="313" ht="15.75" customHeight="1" s="114"/>
    <row r="314" ht="15.75" customHeight="1" s="114"/>
    <row r="315" ht="15.75" customHeight="1" s="114"/>
    <row r="316" ht="15.75" customHeight="1" s="114"/>
    <row r="317" ht="15.75" customHeight="1" s="114"/>
    <row r="318" ht="15.75" customHeight="1" s="114"/>
    <row r="319" ht="15.75" customHeight="1" s="114"/>
    <row r="320" ht="15.75" customHeight="1" s="114"/>
    <row r="321" ht="15.75" customHeight="1" s="114"/>
    <row r="322" ht="15.75" customHeight="1" s="114"/>
    <row r="323" ht="15.75" customHeight="1" s="114"/>
    <row r="324" ht="15.75" customHeight="1" s="114"/>
    <row r="325" ht="15.75" customHeight="1" s="114"/>
    <row r="326" ht="15.75" customHeight="1" s="114"/>
    <row r="327" ht="15.75" customHeight="1" s="114"/>
    <row r="328" ht="15.75" customHeight="1" s="114"/>
    <row r="329" ht="15.75" customHeight="1" s="114"/>
    <row r="330" ht="15.75" customHeight="1" s="114"/>
    <row r="331" ht="15.75" customHeight="1" s="114"/>
    <row r="332" ht="15.75" customHeight="1" s="114"/>
    <row r="333" ht="15.75" customHeight="1" s="114"/>
    <row r="334" ht="15.75" customHeight="1" s="114"/>
    <row r="335" ht="15.75" customHeight="1" s="114"/>
    <row r="336" ht="15.75" customHeight="1" s="114"/>
    <row r="337" ht="15.75" customHeight="1" s="114"/>
    <row r="338" ht="15.75" customHeight="1" s="114"/>
    <row r="339" ht="15.75" customHeight="1" s="114"/>
    <row r="340" ht="15.75" customHeight="1" s="114"/>
    <row r="341" ht="15.75" customHeight="1" s="114"/>
    <row r="342" ht="15.75" customHeight="1" s="114"/>
    <row r="343" ht="15.75" customHeight="1" s="114"/>
    <row r="344" ht="15.75" customHeight="1" s="114"/>
    <row r="345" ht="15.75" customHeight="1" s="114"/>
    <row r="346" ht="15.75" customHeight="1" s="114"/>
    <row r="347" ht="15.75" customHeight="1" s="114"/>
    <row r="348" ht="15.75" customHeight="1" s="114"/>
    <row r="349" ht="15.75" customHeight="1" s="114"/>
    <row r="350" ht="15.75" customHeight="1" s="114"/>
    <row r="351" ht="15.75" customHeight="1" s="114"/>
    <row r="352" ht="15.75" customHeight="1" s="114"/>
    <row r="353" ht="15.75" customHeight="1" s="114"/>
    <row r="354" ht="15.75" customHeight="1" s="114"/>
    <row r="355" ht="15.75" customHeight="1" s="114"/>
    <row r="356" ht="15.75" customHeight="1" s="114"/>
    <row r="357" ht="15.75" customHeight="1" s="114"/>
    <row r="358" ht="15.75" customHeight="1" s="114"/>
    <row r="359" ht="15.75" customHeight="1" s="114"/>
    <row r="360" ht="15.75" customHeight="1" s="114"/>
    <row r="361" ht="15.75" customHeight="1" s="114"/>
    <row r="362" ht="15.75" customHeight="1" s="114"/>
    <row r="363" ht="15.75" customHeight="1" s="114"/>
    <row r="364" ht="15.75" customHeight="1" s="114"/>
    <row r="365" ht="15.75" customHeight="1" s="114"/>
    <row r="366" ht="15.75" customHeight="1" s="114"/>
    <row r="367" ht="15.75" customHeight="1" s="114"/>
    <row r="368" ht="15.75" customHeight="1" s="114"/>
    <row r="369" ht="15.75" customHeight="1" s="114"/>
    <row r="370" ht="15.75" customHeight="1" s="114"/>
    <row r="371" ht="15.75" customHeight="1" s="114"/>
    <row r="372" ht="15.75" customHeight="1" s="114"/>
    <row r="373" ht="15.75" customHeight="1" s="114"/>
    <row r="374" ht="15.75" customHeight="1" s="114"/>
    <row r="375" ht="15.75" customHeight="1" s="114"/>
    <row r="376" ht="15.75" customHeight="1" s="114"/>
    <row r="377" ht="15.75" customHeight="1" s="114"/>
    <row r="378" ht="15.75" customHeight="1" s="114"/>
    <row r="379" ht="15.75" customHeight="1" s="114"/>
    <row r="380" ht="15.75" customHeight="1" s="114"/>
    <row r="381" ht="15.75" customHeight="1" s="114"/>
    <row r="382" ht="15.75" customHeight="1" s="114"/>
    <row r="383" ht="15.75" customHeight="1" s="114"/>
    <row r="384" ht="15.75" customHeight="1" s="114"/>
    <row r="385" ht="15.75" customHeight="1" s="114"/>
    <row r="386" ht="15.75" customHeight="1" s="114"/>
    <row r="387" ht="15.75" customHeight="1" s="114"/>
    <row r="388" ht="15.75" customHeight="1" s="114"/>
    <row r="389" ht="15.75" customHeight="1" s="114"/>
    <row r="390" ht="15.75" customHeight="1" s="114"/>
    <row r="391" ht="15.75" customHeight="1" s="114"/>
    <row r="392" ht="15.75" customHeight="1" s="114"/>
    <row r="393" ht="15.75" customHeight="1" s="114"/>
    <row r="394" ht="15.75" customHeight="1" s="114"/>
    <row r="395" ht="15.75" customHeight="1" s="114"/>
    <row r="396" ht="15.75" customHeight="1" s="114"/>
    <row r="397" ht="15.75" customHeight="1" s="114"/>
    <row r="398" ht="15.75" customHeight="1" s="114"/>
    <row r="399" ht="15.75" customHeight="1" s="114"/>
    <row r="400" ht="15.75" customHeight="1" s="114"/>
    <row r="401" ht="15.75" customHeight="1" s="114"/>
    <row r="402" ht="15.75" customHeight="1" s="114"/>
    <row r="403" ht="15.75" customHeight="1" s="114"/>
    <row r="404" ht="15.75" customHeight="1" s="114"/>
    <row r="405" ht="15.75" customHeight="1" s="114"/>
    <row r="406" ht="15.75" customHeight="1" s="114"/>
    <row r="407" ht="15.75" customHeight="1" s="114"/>
    <row r="408" ht="15.75" customHeight="1" s="114"/>
    <row r="409" ht="15.75" customHeight="1" s="114"/>
    <row r="410" ht="15.75" customHeight="1" s="114"/>
    <row r="411" ht="15.75" customHeight="1" s="114"/>
    <row r="412" ht="15.75" customHeight="1" s="114"/>
    <row r="413" ht="15.75" customHeight="1" s="114"/>
    <row r="414" ht="15.75" customHeight="1" s="114"/>
    <row r="415" ht="15.75" customHeight="1" s="114"/>
    <row r="416" ht="15.75" customHeight="1" s="114"/>
    <row r="417" ht="15.75" customHeight="1" s="114"/>
    <row r="418" ht="15.75" customHeight="1" s="114"/>
    <row r="419" ht="15.75" customHeight="1" s="114"/>
    <row r="420" ht="15.75" customHeight="1" s="114"/>
    <row r="421" ht="15.75" customHeight="1" s="114"/>
    <row r="422" ht="15.75" customHeight="1" s="114"/>
    <row r="423" ht="15.75" customHeight="1" s="114"/>
    <row r="424" ht="15.75" customHeight="1" s="114"/>
    <row r="425" ht="15.75" customHeight="1" s="114"/>
    <row r="426" ht="15.75" customHeight="1" s="114"/>
    <row r="427" ht="15.75" customHeight="1" s="114"/>
    <row r="428" ht="15.75" customHeight="1" s="114"/>
    <row r="429" ht="15.75" customHeight="1" s="114"/>
    <row r="430" ht="15.75" customHeight="1" s="114"/>
    <row r="431" ht="15.75" customHeight="1" s="114"/>
    <row r="432" ht="15.75" customHeight="1" s="114"/>
    <row r="433" ht="15.75" customHeight="1" s="114"/>
    <row r="434" ht="15.75" customHeight="1" s="114"/>
    <row r="435" ht="15.75" customHeight="1" s="114"/>
    <row r="436" ht="15.75" customHeight="1" s="114"/>
    <row r="437" ht="15.75" customHeight="1" s="114"/>
    <row r="438" ht="15.75" customHeight="1" s="114"/>
    <row r="439" ht="15.75" customHeight="1" s="114"/>
    <row r="440" ht="15.75" customHeight="1" s="114"/>
    <row r="441" ht="15.75" customHeight="1" s="114"/>
    <row r="442" ht="15.75" customHeight="1" s="114"/>
    <row r="443" ht="15.75" customHeight="1" s="114"/>
    <row r="444" ht="15.75" customHeight="1" s="114"/>
    <row r="445" ht="15.75" customHeight="1" s="114"/>
    <row r="446" ht="15.75" customHeight="1" s="114"/>
    <row r="447" ht="15.75" customHeight="1" s="114"/>
    <row r="448" ht="15.75" customHeight="1" s="114"/>
    <row r="449" ht="15.75" customHeight="1" s="114"/>
    <row r="450" ht="15.75" customHeight="1" s="114"/>
    <row r="451" ht="15.75" customHeight="1" s="114"/>
    <row r="452" ht="15.75" customHeight="1" s="114"/>
    <row r="453" ht="15.75" customHeight="1" s="114"/>
    <row r="454" ht="15.75" customHeight="1" s="114"/>
    <row r="455" ht="15.75" customHeight="1" s="114"/>
    <row r="456" ht="15.75" customHeight="1" s="114"/>
    <row r="457" ht="15.75" customHeight="1" s="114"/>
    <row r="458" ht="15.75" customHeight="1" s="114"/>
    <row r="459" ht="15.75" customHeight="1" s="114"/>
    <row r="460" ht="15.75" customHeight="1" s="114"/>
    <row r="461" ht="15.75" customHeight="1" s="114"/>
    <row r="462" ht="15.75" customHeight="1" s="114"/>
    <row r="463" ht="15.75" customHeight="1" s="114"/>
    <row r="464" ht="15.75" customHeight="1" s="114"/>
    <row r="465" ht="15.75" customHeight="1" s="114"/>
    <row r="466" ht="15.75" customHeight="1" s="114"/>
    <row r="467" ht="15.75" customHeight="1" s="114"/>
    <row r="468" ht="15.75" customHeight="1" s="114"/>
    <row r="469" ht="15.75" customHeight="1" s="114"/>
    <row r="470" ht="15.75" customHeight="1" s="114"/>
    <row r="471" ht="15.75" customHeight="1" s="114"/>
    <row r="472" ht="15.75" customHeight="1" s="114"/>
    <row r="473" ht="15.75" customHeight="1" s="114"/>
    <row r="474" ht="15.75" customHeight="1" s="114"/>
    <row r="475" ht="15.75" customHeight="1" s="114"/>
    <row r="476" ht="15.75" customHeight="1" s="114"/>
    <row r="477" ht="15.75" customHeight="1" s="114"/>
    <row r="478" ht="15.75" customHeight="1" s="114"/>
    <row r="479" ht="15.75" customHeight="1" s="114"/>
    <row r="480" ht="15.75" customHeight="1" s="114"/>
    <row r="481" ht="15.75" customHeight="1" s="114"/>
    <row r="482" ht="15.75" customHeight="1" s="114"/>
    <row r="483" ht="15.75" customHeight="1" s="114"/>
    <row r="484" ht="15.75" customHeight="1" s="114"/>
    <row r="485" ht="15.75" customHeight="1" s="114"/>
    <row r="486" ht="15.75" customHeight="1" s="114"/>
    <row r="487" ht="15.75" customHeight="1" s="114"/>
    <row r="488" ht="15.75" customHeight="1" s="114"/>
    <row r="489" ht="15.75" customHeight="1" s="114"/>
    <row r="490" ht="15.75" customHeight="1" s="114"/>
    <row r="491" ht="15.75" customHeight="1" s="114"/>
    <row r="492" ht="15.75" customHeight="1" s="114"/>
    <row r="493" ht="15.75" customHeight="1" s="114"/>
    <row r="494" ht="15.75" customHeight="1" s="114"/>
    <row r="495" ht="15.75" customHeight="1" s="114"/>
    <row r="496" ht="15.75" customHeight="1" s="114"/>
    <row r="497" ht="15.75" customHeight="1" s="114"/>
    <row r="498" ht="15.75" customHeight="1" s="114"/>
    <row r="499" ht="15.75" customHeight="1" s="114"/>
    <row r="500" ht="15.75" customHeight="1" s="114"/>
    <row r="501" ht="15.75" customHeight="1" s="114"/>
    <row r="502" ht="15.75" customHeight="1" s="114"/>
    <row r="503" ht="15.75" customHeight="1" s="114"/>
    <row r="504" ht="15.75" customHeight="1" s="114"/>
    <row r="505" ht="15.75" customHeight="1" s="114"/>
    <row r="506" ht="15.75" customHeight="1" s="114"/>
    <row r="507" ht="15.75" customHeight="1" s="114"/>
    <row r="508" ht="15.75" customHeight="1" s="114"/>
    <row r="509" ht="15.75" customHeight="1" s="114"/>
    <row r="510" ht="15.75" customHeight="1" s="114"/>
    <row r="511" ht="15.75" customHeight="1" s="114"/>
    <row r="512" ht="15.75" customHeight="1" s="114"/>
    <row r="513" ht="15.75" customHeight="1" s="114"/>
    <row r="514" ht="15.75" customHeight="1" s="114"/>
    <row r="515" ht="15.75" customHeight="1" s="114"/>
    <row r="516" ht="15.75" customHeight="1" s="114"/>
    <row r="517" ht="15.75" customHeight="1" s="114"/>
    <row r="518" ht="15.75" customHeight="1" s="114"/>
    <row r="519" ht="15.75" customHeight="1" s="114"/>
    <row r="520" ht="15.75" customHeight="1" s="114"/>
    <row r="521" ht="15.75" customHeight="1" s="114"/>
    <row r="522" ht="15.75" customHeight="1" s="114"/>
    <row r="523" ht="15.75" customHeight="1" s="114"/>
    <row r="524" ht="15.75" customHeight="1" s="114"/>
    <row r="525" ht="15.75" customHeight="1" s="114"/>
    <row r="526" ht="15.75" customHeight="1" s="114"/>
    <row r="527" ht="15.75" customHeight="1" s="114"/>
    <row r="528" ht="15.75" customHeight="1" s="114"/>
    <row r="529" ht="15.75" customHeight="1" s="114"/>
    <row r="530" ht="15.75" customHeight="1" s="114"/>
    <row r="531" ht="15.75" customHeight="1" s="114"/>
    <row r="532" ht="15.75" customHeight="1" s="114"/>
    <row r="533" ht="15.75" customHeight="1" s="114"/>
    <row r="534" ht="15.75" customHeight="1" s="114"/>
    <row r="535" ht="15.75" customHeight="1" s="114"/>
    <row r="536" ht="15.75" customHeight="1" s="114"/>
    <row r="537" ht="15.75" customHeight="1" s="114"/>
    <row r="538" ht="15.75" customHeight="1" s="114"/>
    <row r="539" ht="15.75" customHeight="1" s="114"/>
    <row r="540" ht="15.75" customHeight="1" s="114"/>
    <row r="541" ht="15.75" customHeight="1" s="114"/>
    <row r="542" ht="15.75" customHeight="1" s="114"/>
    <row r="543" ht="15.75" customHeight="1" s="114"/>
    <row r="544" ht="15.75" customHeight="1" s="114"/>
    <row r="545" ht="15.75" customHeight="1" s="114"/>
    <row r="546" ht="15.75" customHeight="1" s="114"/>
    <row r="547" ht="15.75" customHeight="1" s="114"/>
    <row r="548" ht="15.75" customHeight="1" s="114"/>
    <row r="549" ht="15.75" customHeight="1" s="114"/>
    <row r="550" ht="15.75" customHeight="1" s="114"/>
    <row r="551" ht="15.75" customHeight="1" s="114"/>
    <row r="552" ht="15.75" customHeight="1" s="114"/>
    <row r="553" ht="15.75" customHeight="1" s="114"/>
    <row r="554" ht="15.75" customHeight="1" s="114"/>
    <row r="555" ht="15.75" customHeight="1" s="114"/>
    <row r="556" ht="15.75" customHeight="1" s="114"/>
    <row r="557" ht="15.75" customHeight="1" s="114"/>
    <row r="558" ht="15.75" customHeight="1" s="114"/>
    <row r="559" ht="15.75" customHeight="1" s="114"/>
    <row r="560" ht="15.75" customHeight="1" s="114"/>
    <row r="561" ht="15.75" customHeight="1" s="114"/>
    <row r="562" ht="15.75" customHeight="1" s="114"/>
    <row r="563" ht="15.75" customHeight="1" s="114"/>
    <row r="564" ht="15.75" customHeight="1" s="114"/>
    <row r="565" ht="15.75" customHeight="1" s="114"/>
    <row r="566" ht="15.75" customHeight="1" s="114"/>
    <row r="567" ht="15.75" customHeight="1" s="114"/>
    <row r="568" ht="15.75" customHeight="1" s="114"/>
    <row r="569" ht="15.75" customHeight="1" s="114"/>
    <row r="570" ht="15.75" customHeight="1" s="114"/>
    <row r="571" ht="15.75" customHeight="1" s="114"/>
    <row r="572" ht="15.75" customHeight="1" s="114"/>
    <row r="573" ht="15.75" customHeight="1" s="114"/>
    <row r="574" ht="15.75" customHeight="1" s="114"/>
    <row r="575" ht="15.75" customHeight="1" s="114"/>
    <row r="576" ht="15.75" customHeight="1" s="114"/>
    <row r="577" ht="15.75" customHeight="1" s="114"/>
    <row r="578" ht="15.75" customHeight="1" s="114"/>
    <row r="579" ht="15.75" customHeight="1" s="114"/>
    <row r="580" ht="15.75" customHeight="1" s="114"/>
    <row r="581" ht="15.75" customHeight="1" s="114"/>
    <row r="582" ht="15.75" customHeight="1" s="114"/>
    <row r="583" ht="15.75" customHeight="1" s="114"/>
    <row r="584" ht="15.75" customHeight="1" s="114"/>
    <row r="585" ht="15.75" customHeight="1" s="114"/>
    <row r="586" ht="15.75" customHeight="1" s="114"/>
    <row r="587" ht="15.75" customHeight="1" s="114"/>
    <row r="588" ht="15.75" customHeight="1" s="114"/>
    <row r="589" ht="15.75" customHeight="1" s="114"/>
    <row r="590" ht="15.75" customHeight="1" s="114"/>
    <row r="591" ht="15.75" customHeight="1" s="114"/>
    <row r="592" ht="15.75" customHeight="1" s="114"/>
    <row r="593" ht="15.75" customHeight="1" s="114"/>
    <row r="594" ht="15.75" customHeight="1" s="114"/>
    <row r="595" ht="15.75" customHeight="1" s="114"/>
    <row r="596" ht="15.75" customHeight="1" s="114"/>
    <row r="597" ht="15.75" customHeight="1" s="114"/>
    <row r="598" ht="15.75" customHeight="1" s="114"/>
    <row r="599" ht="15.75" customHeight="1" s="114"/>
    <row r="600" ht="15.75" customHeight="1" s="114"/>
    <row r="601" ht="15.75" customHeight="1" s="114"/>
    <row r="602" ht="15.75" customHeight="1" s="114"/>
    <row r="603" ht="15.75" customHeight="1" s="114"/>
    <row r="604" ht="15.75" customHeight="1" s="114"/>
    <row r="605" ht="15.75" customHeight="1" s="114"/>
    <row r="606" ht="15.75" customHeight="1" s="114"/>
    <row r="607" ht="15.75" customHeight="1" s="114"/>
    <row r="608" ht="15.75" customHeight="1" s="114"/>
    <row r="609" ht="15.75" customHeight="1" s="114"/>
    <row r="610" ht="15.75" customHeight="1" s="114"/>
    <row r="611" ht="15.75" customHeight="1" s="114"/>
    <row r="612" ht="15.75" customHeight="1" s="114"/>
    <row r="613" ht="15.75" customHeight="1" s="114"/>
    <row r="614" ht="15.75" customHeight="1" s="114"/>
    <row r="615" ht="15.75" customHeight="1" s="114"/>
    <row r="616" ht="15.75" customHeight="1" s="114"/>
    <row r="617" ht="15.75" customHeight="1" s="114"/>
    <row r="618" ht="15.75" customHeight="1" s="114"/>
    <row r="619" ht="15.75" customHeight="1" s="114"/>
    <row r="620" ht="15.75" customHeight="1" s="114"/>
    <row r="621" ht="15.75" customHeight="1" s="114"/>
    <row r="622" ht="15.75" customHeight="1" s="114"/>
    <row r="623" ht="15.75" customHeight="1" s="114"/>
    <row r="624" ht="15.75" customHeight="1" s="114"/>
    <row r="625" ht="15.75" customHeight="1" s="114"/>
    <row r="626" ht="15.75" customHeight="1" s="114"/>
    <row r="627" ht="15.75" customHeight="1" s="114"/>
    <row r="628" ht="15.75" customHeight="1" s="114"/>
    <row r="629" ht="15.75" customHeight="1" s="114"/>
    <row r="630" ht="15.75" customHeight="1" s="114"/>
    <row r="631" ht="15.75" customHeight="1" s="114"/>
    <row r="632" ht="15.75" customHeight="1" s="114"/>
    <row r="633" ht="15.75" customHeight="1" s="114"/>
    <row r="634" ht="15.75" customHeight="1" s="114"/>
    <row r="635" ht="15.75" customHeight="1" s="114"/>
    <row r="636" ht="15.75" customHeight="1" s="114"/>
    <row r="637" ht="15.75" customHeight="1" s="114"/>
    <row r="638" ht="15.75" customHeight="1" s="114"/>
    <row r="639" ht="15.75" customHeight="1" s="114"/>
    <row r="640" ht="15.75" customHeight="1" s="114"/>
    <row r="641" ht="15.75" customHeight="1" s="114"/>
    <row r="642" ht="15.75" customHeight="1" s="114"/>
    <row r="643" ht="15.75" customHeight="1" s="114"/>
    <row r="644" ht="15.75" customHeight="1" s="114"/>
    <row r="645" ht="15.75" customHeight="1" s="114"/>
    <row r="646" ht="15.75" customHeight="1" s="114"/>
    <row r="647" ht="15.75" customHeight="1" s="114"/>
    <row r="648" ht="15.75" customHeight="1" s="114"/>
    <row r="649" ht="15.75" customHeight="1" s="114"/>
    <row r="650" ht="15.75" customHeight="1" s="114"/>
    <row r="651" ht="15.75" customHeight="1" s="114"/>
    <row r="652" ht="15.75" customHeight="1" s="114"/>
    <row r="653" ht="15.75" customHeight="1" s="114"/>
    <row r="654" ht="15.75" customHeight="1" s="114"/>
    <row r="655" ht="15.75" customHeight="1" s="114"/>
    <row r="656" ht="15.75" customHeight="1" s="114"/>
    <row r="657" ht="15.75" customHeight="1" s="114"/>
    <row r="658" ht="15.75" customHeight="1" s="114"/>
    <row r="659" ht="15.75" customHeight="1" s="114"/>
    <row r="660" ht="15.75" customHeight="1" s="114"/>
    <row r="661" ht="15.75" customHeight="1" s="114"/>
    <row r="662" ht="15.75" customHeight="1" s="114"/>
    <row r="663" ht="15.75" customHeight="1" s="114"/>
    <row r="664" ht="15.75" customHeight="1" s="114"/>
    <row r="665" ht="15.75" customHeight="1" s="114"/>
    <row r="666" ht="15.75" customHeight="1" s="114"/>
    <row r="667" ht="15.75" customHeight="1" s="114"/>
    <row r="668" ht="15.75" customHeight="1" s="114"/>
    <row r="669" ht="15.75" customHeight="1" s="114"/>
    <row r="670" ht="15.75" customHeight="1" s="114"/>
    <row r="671" ht="15.75" customHeight="1" s="114"/>
    <row r="672" ht="15.75" customHeight="1" s="114"/>
    <row r="673" ht="15.75" customHeight="1" s="114"/>
    <row r="674" ht="15.75" customHeight="1" s="114"/>
    <row r="675" ht="15.75" customHeight="1" s="114"/>
    <row r="676" ht="15.75" customHeight="1" s="114"/>
    <row r="677" ht="15.75" customHeight="1" s="114"/>
    <row r="678" ht="15.75" customHeight="1" s="114"/>
    <row r="679" ht="15.75" customHeight="1" s="114"/>
    <row r="680" ht="15.75" customHeight="1" s="114"/>
    <row r="681" ht="15.75" customHeight="1" s="114"/>
    <row r="682" ht="15.75" customHeight="1" s="114"/>
    <row r="683" ht="15.75" customHeight="1" s="114"/>
    <row r="684" ht="15.75" customHeight="1" s="114"/>
    <row r="685" ht="15.75" customHeight="1" s="114"/>
    <row r="686" ht="15.75" customHeight="1" s="114"/>
    <row r="687" ht="15.75" customHeight="1" s="114"/>
    <row r="688" ht="15.75" customHeight="1" s="114"/>
    <row r="689" ht="15.75" customHeight="1" s="114"/>
    <row r="690" ht="15.75" customHeight="1" s="114"/>
    <row r="691" ht="15.75" customHeight="1" s="114"/>
    <row r="692" ht="15.75" customHeight="1" s="114"/>
    <row r="693" ht="15.75" customHeight="1" s="114"/>
    <row r="694" ht="15.75" customHeight="1" s="114"/>
    <row r="695" ht="15.75" customHeight="1" s="114"/>
    <row r="696" ht="15.75" customHeight="1" s="114"/>
    <row r="697" ht="15.75" customHeight="1" s="114"/>
    <row r="698" ht="15.75" customHeight="1" s="114"/>
    <row r="699" ht="15.75" customHeight="1" s="114"/>
    <row r="700" ht="15.75" customHeight="1" s="114"/>
    <row r="701" ht="15.75" customHeight="1" s="114"/>
    <row r="702" ht="15.75" customHeight="1" s="114"/>
    <row r="703" ht="15.75" customHeight="1" s="114"/>
    <row r="704" ht="15.75" customHeight="1" s="114"/>
    <row r="705" ht="15.75" customHeight="1" s="114"/>
    <row r="706" ht="15.75" customHeight="1" s="114"/>
    <row r="707" ht="15.75" customHeight="1" s="114"/>
    <row r="708" ht="15.75" customHeight="1" s="114"/>
    <row r="709" ht="15.75" customHeight="1" s="114"/>
    <row r="710" ht="15.75" customHeight="1" s="114"/>
    <row r="711" ht="15.75" customHeight="1" s="114"/>
    <row r="712" ht="15.75" customHeight="1" s="114"/>
    <row r="713" ht="15.75" customHeight="1" s="114"/>
    <row r="714" ht="15.75" customHeight="1" s="114"/>
    <row r="715" ht="15.75" customHeight="1" s="114"/>
    <row r="716" ht="15.75" customHeight="1" s="114"/>
    <row r="717" ht="15.75" customHeight="1" s="114"/>
    <row r="718" ht="15.75" customHeight="1" s="114"/>
    <row r="719" ht="15.75" customHeight="1" s="114"/>
    <row r="720" ht="15.75" customHeight="1" s="114"/>
    <row r="721" ht="15.75" customHeight="1" s="114"/>
    <row r="722" ht="15.75" customHeight="1" s="114"/>
    <row r="723" ht="15.75" customHeight="1" s="114"/>
    <row r="724" ht="15.75" customHeight="1" s="114"/>
    <row r="725" ht="15.75" customHeight="1" s="114"/>
    <row r="726" ht="15.75" customHeight="1" s="114"/>
    <row r="727" ht="15.75" customHeight="1" s="114"/>
    <row r="728" ht="15.75" customHeight="1" s="114"/>
    <row r="729" ht="15.75" customHeight="1" s="114"/>
    <row r="730" ht="15.75" customHeight="1" s="114"/>
    <row r="731" ht="15.75" customHeight="1" s="114"/>
    <row r="732" ht="15.75" customHeight="1" s="114"/>
    <row r="733" ht="15.75" customHeight="1" s="114"/>
    <row r="734" ht="15.75" customHeight="1" s="114"/>
    <row r="735" ht="15.75" customHeight="1" s="114"/>
    <row r="736" ht="15.75" customHeight="1" s="114"/>
    <row r="737" ht="15.75" customHeight="1" s="114"/>
    <row r="738" ht="15.75" customHeight="1" s="114"/>
    <row r="739" ht="15.75" customHeight="1" s="114"/>
    <row r="740" ht="15.75" customHeight="1" s="114"/>
    <row r="741" ht="15.75" customHeight="1" s="114"/>
    <row r="742" ht="15.75" customHeight="1" s="114"/>
    <row r="743" ht="15.75" customHeight="1" s="114"/>
    <row r="744" ht="15.75" customHeight="1" s="114"/>
    <row r="745" ht="15.75" customHeight="1" s="114"/>
    <row r="746" ht="15.75" customHeight="1" s="114"/>
    <row r="747" ht="15.75" customHeight="1" s="114"/>
    <row r="748" ht="15.75" customHeight="1" s="114"/>
    <row r="749" ht="15.75" customHeight="1" s="114"/>
    <row r="750" ht="15.75" customHeight="1" s="114"/>
    <row r="751" ht="15.75" customHeight="1" s="114"/>
    <row r="752" ht="15.75" customHeight="1" s="114"/>
    <row r="753" ht="15.75" customHeight="1" s="114"/>
    <row r="754" ht="15.75" customHeight="1" s="114"/>
    <row r="755" ht="15.75" customHeight="1" s="114"/>
    <row r="756" ht="15.75" customHeight="1" s="114"/>
    <row r="757" ht="15.75" customHeight="1" s="114"/>
    <row r="758" ht="15.75" customHeight="1" s="114"/>
    <row r="759" ht="15.75" customHeight="1" s="114"/>
    <row r="760" ht="15.75" customHeight="1" s="114"/>
    <row r="761" ht="15.75" customHeight="1" s="114"/>
    <row r="762" ht="15.75" customHeight="1" s="114"/>
    <row r="763" ht="15.75" customHeight="1" s="114"/>
    <row r="764" ht="15.75" customHeight="1" s="114"/>
    <row r="765" ht="15.75" customHeight="1" s="114"/>
    <row r="766" ht="15.75" customHeight="1" s="114"/>
    <row r="767" ht="15.75" customHeight="1" s="114"/>
    <row r="768" ht="15.75" customHeight="1" s="114"/>
    <row r="769" ht="15.75" customHeight="1" s="114"/>
    <row r="770" ht="15.75" customHeight="1" s="114"/>
    <row r="771" ht="15.75" customHeight="1" s="114"/>
    <row r="772" ht="15.75" customHeight="1" s="114"/>
    <row r="773" ht="15.75" customHeight="1" s="114"/>
    <row r="774" ht="15.75" customHeight="1" s="114"/>
    <row r="775" ht="15.75" customHeight="1" s="114"/>
    <row r="776" ht="15.75" customHeight="1" s="114"/>
    <row r="777" ht="15.75" customHeight="1" s="114"/>
    <row r="778" ht="15.75" customHeight="1" s="114"/>
    <row r="779" ht="15.75" customHeight="1" s="114"/>
    <row r="780" ht="15.75" customHeight="1" s="114"/>
    <row r="781" ht="15.75" customHeight="1" s="114"/>
    <row r="782" ht="15.75" customHeight="1" s="114"/>
    <row r="783" ht="15.75" customHeight="1" s="114"/>
    <row r="784" ht="15.75" customHeight="1" s="114"/>
    <row r="785" ht="15.75" customHeight="1" s="114"/>
    <row r="786" ht="15.75" customHeight="1" s="114"/>
    <row r="787" ht="15.75" customHeight="1" s="114"/>
    <row r="788" ht="15.75" customHeight="1" s="114"/>
    <row r="789" ht="15.75" customHeight="1" s="114"/>
    <row r="790" ht="15.75" customHeight="1" s="114"/>
    <row r="791" ht="15.75" customHeight="1" s="114"/>
    <row r="792" ht="15.75" customHeight="1" s="114"/>
    <row r="793" ht="15.75" customHeight="1" s="114"/>
    <row r="794" ht="15.75" customHeight="1" s="114"/>
    <row r="795" ht="15.75" customHeight="1" s="114"/>
    <row r="796" ht="15.75" customHeight="1" s="114"/>
    <row r="797" ht="15.75" customHeight="1" s="114"/>
    <row r="798" ht="15.75" customHeight="1" s="114"/>
    <row r="799" ht="15.75" customHeight="1" s="114"/>
    <row r="800" ht="15.75" customHeight="1" s="114"/>
    <row r="801" ht="15.75" customHeight="1" s="114"/>
    <row r="802" ht="15.75" customHeight="1" s="114"/>
    <row r="803" ht="15.75" customHeight="1" s="114"/>
    <row r="804" ht="15.75" customHeight="1" s="114"/>
    <row r="805" ht="15.75" customHeight="1" s="114"/>
    <row r="806" ht="15.75" customHeight="1" s="114"/>
    <row r="807" ht="15.75" customHeight="1" s="114"/>
    <row r="808" ht="15.75" customHeight="1" s="114"/>
    <row r="809" ht="15.75" customHeight="1" s="114"/>
    <row r="810" ht="15.75" customHeight="1" s="114"/>
    <row r="811" ht="15.75" customHeight="1" s="114"/>
    <row r="812" ht="15.75" customHeight="1" s="114"/>
    <row r="813" ht="15.75" customHeight="1" s="114"/>
    <row r="814" ht="15.75" customHeight="1" s="114"/>
    <row r="815" ht="15.75" customHeight="1" s="114"/>
    <row r="816" ht="15.75" customHeight="1" s="114"/>
    <row r="817" ht="15.75" customHeight="1" s="114"/>
    <row r="818" ht="15.75" customHeight="1" s="114"/>
    <row r="819" ht="15.75" customHeight="1" s="114"/>
    <row r="820" ht="15.75" customHeight="1" s="114"/>
    <row r="821" ht="15.75" customHeight="1" s="114"/>
    <row r="822" ht="15.75" customHeight="1" s="114"/>
    <row r="823" ht="15.75" customHeight="1" s="114"/>
    <row r="824" ht="15.75" customHeight="1" s="114"/>
    <row r="825" ht="15.75" customHeight="1" s="114"/>
    <row r="826" ht="15.75" customHeight="1" s="114"/>
    <row r="827" ht="15.75" customHeight="1" s="114"/>
    <row r="828" ht="15.75" customHeight="1" s="114"/>
    <row r="829" ht="15.75" customHeight="1" s="114"/>
    <row r="830" ht="15.75" customHeight="1" s="114"/>
    <row r="831" ht="15.75" customHeight="1" s="114"/>
    <row r="832" ht="15.75" customHeight="1" s="114"/>
    <row r="833" ht="15.75" customHeight="1" s="114"/>
    <row r="834" ht="15.75" customHeight="1" s="114"/>
    <row r="835" ht="15.75" customHeight="1" s="114"/>
    <row r="836" ht="15.75" customHeight="1" s="114"/>
    <row r="837" ht="15.75" customHeight="1" s="114"/>
    <row r="838" ht="15.75" customHeight="1" s="114"/>
    <row r="839" ht="15.75" customHeight="1" s="114"/>
    <row r="840" ht="15.75" customHeight="1" s="114"/>
    <row r="841" ht="15.75" customHeight="1" s="114"/>
    <row r="842" ht="15.75" customHeight="1" s="114"/>
    <row r="843" ht="15.75" customHeight="1" s="114"/>
    <row r="844" ht="15.75" customHeight="1" s="114"/>
    <row r="845" ht="15.75" customHeight="1" s="114"/>
    <row r="846" ht="15.75" customHeight="1" s="114"/>
    <row r="847" ht="15.75" customHeight="1" s="114"/>
    <row r="848" ht="15.75" customHeight="1" s="114"/>
    <row r="849" ht="15.75" customHeight="1" s="114"/>
    <row r="850" ht="15.75" customHeight="1" s="114"/>
    <row r="851" ht="15.75" customHeight="1" s="114"/>
    <row r="852" ht="15.75" customHeight="1" s="114"/>
    <row r="853" ht="15.75" customHeight="1" s="114"/>
    <row r="854" ht="15.75" customHeight="1" s="114"/>
    <row r="855" ht="15.75" customHeight="1" s="114"/>
    <row r="856" ht="15.75" customHeight="1" s="114"/>
    <row r="857" ht="15.75" customHeight="1" s="114"/>
    <row r="858" ht="15.75" customHeight="1" s="114"/>
    <row r="859" ht="15.75" customHeight="1" s="114"/>
    <row r="860" ht="15.75" customHeight="1" s="114"/>
    <row r="861" ht="15.75" customHeight="1" s="114"/>
    <row r="862" ht="15.75" customHeight="1" s="114"/>
    <row r="863" ht="15.75" customHeight="1" s="114"/>
    <row r="864" ht="15.75" customHeight="1" s="114"/>
    <row r="865" ht="15.75" customHeight="1" s="114"/>
    <row r="866" ht="15.75" customHeight="1" s="114"/>
    <row r="867" ht="15.75" customHeight="1" s="114"/>
    <row r="868" ht="15.75" customHeight="1" s="114"/>
    <row r="869" ht="15.75" customHeight="1" s="114"/>
    <row r="870" ht="15.75" customHeight="1" s="114"/>
    <row r="871" ht="15.75" customHeight="1" s="114"/>
    <row r="872" ht="15.75" customHeight="1" s="114"/>
    <row r="873" ht="15.75" customHeight="1" s="114"/>
    <row r="874" ht="15.75" customHeight="1" s="114"/>
    <row r="875" ht="15.75" customHeight="1" s="114"/>
    <row r="876" ht="15.75" customHeight="1" s="114"/>
    <row r="877" ht="15.75" customHeight="1" s="114"/>
    <row r="878" ht="15.75" customHeight="1" s="114"/>
    <row r="879" ht="15.75" customHeight="1" s="114"/>
    <row r="880" ht="15.75" customHeight="1" s="114"/>
    <row r="881" ht="15.75" customHeight="1" s="114"/>
    <row r="882" ht="15.75" customHeight="1" s="114"/>
    <row r="883" ht="15.75" customHeight="1" s="114"/>
    <row r="884" ht="15.75" customHeight="1" s="114"/>
    <row r="885" ht="15.75" customHeight="1" s="114"/>
    <row r="886" ht="15.75" customHeight="1" s="114"/>
    <row r="887" ht="15.75" customHeight="1" s="114"/>
    <row r="888" ht="15.75" customHeight="1" s="114"/>
    <row r="889" ht="15.75" customHeight="1" s="114"/>
    <row r="890" ht="15.75" customHeight="1" s="114"/>
    <row r="891" ht="15.75" customHeight="1" s="114"/>
    <row r="892" ht="15.75" customHeight="1" s="114"/>
    <row r="893" ht="15.75" customHeight="1" s="114"/>
    <row r="894" ht="15.75" customHeight="1" s="114"/>
    <row r="895" ht="15.75" customHeight="1" s="114"/>
    <row r="896" ht="15.75" customHeight="1" s="114"/>
    <row r="897" ht="15.75" customHeight="1" s="114"/>
    <row r="898" ht="15.75" customHeight="1" s="114"/>
    <row r="899" ht="15.75" customHeight="1" s="114"/>
    <row r="900" ht="15.75" customHeight="1" s="114"/>
    <row r="901" ht="15.75" customHeight="1" s="114"/>
    <row r="902" ht="15.75" customHeight="1" s="114"/>
    <row r="903" ht="15.75" customHeight="1" s="114"/>
    <row r="904" ht="15.75" customHeight="1" s="114"/>
    <row r="905" ht="15.75" customHeight="1" s="114"/>
    <row r="906" ht="15.75" customHeight="1" s="114"/>
    <row r="907" ht="15.75" customHeight="1" s="114"/>
    <row r="908" ht="15.75" customHeight="1" s="114"/>
    <row r="909" ht="15.75" customHeight="1" s="114"/>
    <row r="910" ht="15.75" customHeight="1" s="114"/>
    <row r="911" ht="15.75" customHeight="1" s="114"/>
    <row r="912" ht="15.75" customHeight="1" s="114"/>
    <row r="913" ht="15.75" customHeight="1" s="114"/>
    <row r="914" ht="15.75" customHeight="1" s="114"/>
    <row r="915" ht="15.75" customHeight="1" s="114"/>
    <row r="916" ht="15.75" customHeight="1" s="114"/>
    <row r="917" ht="15.75" customHeight="1" s="114"/>
    <row r="918" ht="15.75" customHeight="1" s="114"/>
    <row r="919" ht="15.75" customHeight="1" s="114"/>
    <row r="920" ht="15.75" customHeight="1" s="114"/>
    <row r="921" ht="15.75" customHeight="1" s="114"/>
    <row r="922" ht="15.75" customHeight="1" s="114"/>
    <row r="923" ht="15.75" customHeight="1" s="114"/>
    <row r="924" ht="15.75" customHeight="1" s="114"/>
    <row r="925" ht="15.75" customHeight="1" s="114"/>
    <row r="926" ht="15.75" customHeight="1" s="114"/>
    <row r="927" ht="15.75" customHeight="1" s="114"/>
    <row r="928" ht="15.75" customHeight="1" s="114"/>
    <row r="929" ht="15.75" customHeight="1" s="114"/>
    <row r="930" ht="15.75" customHeight="1" s="114"/>
    <row r="931" ht="15.75" customHeight="1" s="114"/>
    <row r="932" ht="15.75" customHeight="1" s="114"/>
    <row r="933" ht="15.75" customHeight="1" s="114"/>
    <row r="934" ht="15.75" customHeight="1" s="114"/>
    <row r="935" ht="15.75" customHeight="1" s="114"/>
    <row r="936" ht="15.75" customHeight="1" s="114"/>
    <row r="937" ht="15.75" customHeight="1" s="114"/>
    <row r="938" ht="15.75" customHeight="1" s="114"/>
    <row r="939" ht="15.75" customHeight="1" s="114"/>
    <row r="940" ht="15.75" customHeight="1" s="114"/>
    <row r="941" ht="15.75" customHeight="1" s="114"/>
    <row r="942" ht="15.75" customHeight="1" s="114"/>
    <row r="943" ht="15.75" customHeight="1" s="114"/>
    <row r="944" ht="15.75" customHeight="1" s="114"/>
    <row r="945" ht="15.75" customHeight="1" s="114"/>
    <row r="946" ht="15.75" customHeight="1" s="114"/>
    <row r="947" ht="15.75" customHeight="1" s="114"/>
    <row r="948" ht="15.75" customHeight="1" s="114"/>
    <row r="949" ht="15.75" customHeight="1" s="114"/>
    <row r="950" ht="15.75" customHeight="1" s="114"/>
    <row r="951" ht="15.75" customHeight="1" s="114"/>
    <row r="952" ht="15.75" customHeight="1" s="114"/>
    <row r="953" ht="15.75" customHeight="1" s="114"/>
    <row r="954" ht="15.75" customHeight="1" s="114"/>
    <row r="955" ht="15.75" customHeight="1" s="114"/>
    <row r="956" ht="15.75" customHeight="1" s="114"/>
    <row r="957" ht="15.75" customHeight="1" s="114"/>
    <row r="958" ht="15.75" customHeight="1" s="114"/>
    <row r="959" ht="15.75" customHeight="1" s="114"/>
    <row r="960" ht="15.75" customHeight="1" s="114"/>
    <row r="961" ht="15.75" customHeight="1" s="114"/>
    <row r="962" ht="15.75" customHeight="1" s="114"/>
    <row r="963" ht="15.75" customHeight="1" s="114"/>
    <row r="964" ht="15.75" customHeight="1" s="114"/>
    <row r="965" ht="15.75" customHeight="1" s="114"/>
    <row r="966" ht="15.75" customHeight="1" s="114"/>
    <row r="967" ht="15.75" customHeight="1" s="114"/>
    <row r="968" ht="15.75" customHeight="1" s="114"/>
    <row r="969" ht="15.75" customHeight="1" s="114"/>
    <row r="970" ht="15.75" customHeight="1" s="114"/>
    <row r="971" ht="15.75" customHeight="1" s="114"/>
    <row r="972" ht="15.75" customHeight="1" s="114"/>
    <row r="973" ht="15.75" customHeight="1" s="114"/>
    <row r="974" ht="15.75" customHeight="1" s="114"/>
    <row r="975" ht="15.75" customHeight="1" s="114"/>
    <row r="976" ht="15.75" customHeight="1" s="114"/>
    <row r="977" ht="15.75" customHeight="1" s="114"/>
    <row r="978" ht="15.75" customHeight="1" s="114"/>
    <row r="979" ht="15.75" customHeight="1" s="114"/>
    <row r="980" ht="15.75" customHeight="1" s="114"/>
    <row r="981" ht="15.75" customHeight="1" s="114"/>
    <row r="982" ht="15.75" customHeight="1" s="114"/>
    <row r="983" ht="15.75" customHeight="1" s="114"/>
    <row r="984" ht="15.75" customHeight="1" s="114"/>
    <row r="985" ht="15.75" customHeight="1" s="114"/>
    <row r="986" ht="15.75" customHeight="1" s="114"/>
    <row r="987" ht="15.75" customHeight="1" s="114"/>
    <row r="988" ht="15.75" customHeight="1" s="114"/>
    <row r="989" ht="15.75" customHeight="1" s="114"/>
    <row r="990" ht="15.75" customHeight="1" s="114"/>
    <row r="991" ht="15.75" customHeight="1" s="114"/>
    <row r="992" ht="15.75" customHeight="1" s="114"/>
    <row r="993" ht="15.75" customHeight="1" s="114"/>
    <row r="994" ht="15.75" customHeight="1" s="114"/>
    <row r="995" ht="15.75" customHeight="1" s="114"/>
    <row r="996" ht="15.75" customHeight="1" s="114"/>
    <row r="997" ht="15.75" customHeight="1" s="114"/>
    <row r="998" ht="15.75" customHeight="1" s="114"/>
    <row r="999" ht="15.75" customHeight="1" s="114"/>
    <row r="1000" ht="15.75" customHeight="1" s="114"/>
  </sheetData>
  <pageMargins left="0.7" right="0.7" top="0.75" bottom="0.75" header="0" footer="0"/>
  <pageSetup orientation="landscape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TamarD12</dc:creator>
  <dcterms:created xsi:type="dcterms:W3CDTF">2021-12-02T14:34:47Z</dcterms:created>
  <dcterms:modified xsi:type="dcterms:W3CDTF">2026-05-21T23:47:56Z</dcterms:modified>
</cp:coreProperties>
</file>