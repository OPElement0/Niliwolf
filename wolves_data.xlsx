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נתוני זיהוי זאבים (2)" sheetId="1" r:id="rId4"/>
    <sheet state="hidden" name="נתוני זיהוי זאבים" sheetId="2" r:id="rId5"/>
    <sheet state="visible" name="גרפים" sheetId="3" r:id="rId6"/>
  </sheets>
  <definedNames/>
  <calcPr/>
  <extLst>
    <ext uri="GoogleSheetsCustomDataVersion2">
      <go:sheetsCustomData xmlns:go="http://customooxmlschemas.google.com/" r:id="rId7" roundtripDataChecksum="/aqhPv9PXDtt/BKnNdHtwKwkJw4JrCaFeW7NM5G8Y/U="/>
    </ext>
  </extLst>
</workbook>
</file>

<file path=xl/sharedStrings.xml><?xml version="1.0" encoding="utf-8"?>
<sst xmlns="http://schemas.openxmlformats.org/spreadsheetml/2006/main" count="3396" uniqueCount="760">
  <si>
    <t>serial number</t>
  </si>
  <si>
    <t>name</t>
  </si>
  <si>
    <t>area</t>
  </si>
  <si>
    <t>main poligon</t>
  </si>
  <si>
    <t>gender</t>
  </si>
  <si>
    <t>cams_spotted</t>
  </si>
  <si>
    <t>social dynamic</t>
  </si>
  <si>
    <t>שיוך</t>
  </si>
  <si>
    <t>pack name</t>
  </si>
  <si>
    <t>seen with</t>
  </si>
  <si>
    <t>notes</t>
  </si>
  <si>
    <t>time on camera</t>
  </si>
  <si>
    <t>#sights</t>
  </si>
  <si>
    <t>#right</t>
  </si>
  <si>
    <t>#left</t>
  </si>
  <si>
    <t>#front</t>
  </si>
  <si>
    <t>#no good</t>
  </si>
  <si>
    <t>#pictures</t>
  </si>
  <si>
    <t>code</t>
  </si>
  <si>
    <t>A1</t>
  </si>
  <si>
    <t>A2</t>
  </si>
  <si>
    <t>B3</t>
  </si>
  <si>
    <t>B4</t>
  </si>
  <si>
    <t>B5</t>
  </si>
  <si>
    <t>C6</t>
  </si>
  <si>
    <t>C7</t>
  </si>
  <si>
    <t>D8</t>
  </si>
  <si>
    <t>D9</t>
  </si>
  <si>
    <t>M1</t>
  </si>
  <si>
    <t>Segen</t>
  </si>
  <si>
    <t>makhfi</t>
  </si>
  <si>
    <t>m</t>
  </si>
  <si>
    <t>pack</t>
  </si>
  <si>
    <t>Makhfi original</t>
  </si>
  <si>
    <t>very dark fur, alpha's brother, born in 2015, cub's babysitter</t>
  </si>
  <si>
    <t>29.10.20</t>
  </si>
  <si>
    <t>a5tye_a1e_N_P_N_a3f_a1_a2b5_a2</t>
  </si>
  <si>
    <t>a5tye</t>
  </si>
  <si>
    <t>a1e</t>
  </si>
  <si>
    <t>N</t>
  </si>
  <si>
    <t>P</t>
  </si>
  <si>
    <t>a3f</t>
  </si>
  <si>
    <t>a1</t>
  </si>
  <si>
    <t>a2b5</t>
  </si>
  <si>
    <t>a2</t>
  </si>
  <si>
    <t>M2k</t>
  </si>
  <si>
    <t>group</t>
  </si>
  <si>
    <t>makhfi new</t>
  </si>
  <si>
    <t>18.9.20</t>
  </si>
  <si>
    <t>b1l_a3i_b_c2_c2_a3i_c_a4b5_a2</t>
  </si>
  <si>
    <t>b1l</t>
  </si>
  <si>
    <t>a3i</t>
  </si>
  <si>
    <t>b</t>
  </si>
  <si>
    <t>c2</t>
  </si>
  <si>
    <t>c</t>
  </si>
  <si>
    <t>a4b5</t>
  </si>
  <si>
    <t>M3</t>
  </si>
  <si>
    <t>unknown</t>
  </si>
  <si>
    <t>makhfi unknown</t>
  </si>
  <si>
    <t>probably one of 2019's cubs of original pack</t>
  </si>
  <si>
    <t>10.11.20</t>
  </si>
  <si>
    <t>a5uyf_a4_a2_c1_c1_a4g_c_P_P</t>
  </si>
  <si>
    <t>a5uyf</t>
  </si>
  <si>
    <t>a4</t>
  </si>
  <si>
    <t>c1</t>
  </si>
  <si>
    <t>a4g</t>
  </si>
  <si>
    <t>M4</t>
  </si>
  <si>
    <t>Foxy</t>
  </si>
  <si>
    <t>f</t>
  </si>
  <si>
    <t>golden fur, pink noze, Odem's daughter</t>
  </si>
  <si>
    <t>26.10.20</t>
  </si>
  <si>
    <t>d2k_a7kl_b_b_b_c2j_b2_a5_a2</t>
  </si>
  <si>
    <t>d2k</t>
  </si>
  <si>
    <t>a7k</t>
  </si>
  <si>
    <t>c2j</t>
  </si>
  <si>
    <t>b2</t>
  </si>
  <si>
    <t>a5</t>
  </si>
  <si>
    <t>M5</t>
  </si>
  <si>
    <t>Odem</t>
  </si>
  <si>
    <t>1 unrecognized</t>
  </si>
  <si>
    <t>alpha female, dark mark on front-right leg</t>
  </si>
  <si>
    <t>1-9.11.20</t>
  </si>
  <si>
    <t>a2wyf_fRa6La1_a3_c1_c1_c2g_b1_a3b1_a3</t>
  </si>
  <si>
    <t>a2wyf</t>
  </si>
  <si>
    <t>fRa6La1</t>
  </si>
  <si>
    <t>a3</t>
  </si>
  <si>
    <t>c2g</t>
  </si>
  <si>
    <t>b1</t>
  </si>
  <si>
    <t>a3b1</t>
  </si>
  <si>
    <t>M6H</t>
  </si>
  <si>
    <t>30, 26,  22</t>
  </si>
  <si>
    <t>26.8.20-14.11.20</t>
  </si>
  <si>
    <t>b1k_a1i_a3_c1_c1_c3i_a2_a3b5_b2</t>
  </si>
  <si>
    <t>b1k</t>
  </si>
  <si>
    <t>a1i</t>
  </si>
  <si>
    <t>c3i</t>
  </si>
  <si>
    <t>a3b5</t>
  </si>
  <si>
    <t>M7</t>
  </si>
  <si>
    <t>1 unrecognized?</t>
  </si>
  <si>
    <t>20.11.20</t>
  </si>
  <si>
    <t>a4tzf_a2f_a1_N_P_c3f_a3_a3b2_a2</t>
  </si>
  <si>
    <t>a4tzf</t>
  </si>
  <si>
    <t>a2f</t>
  </si>
  <si>
    <t>c3f</t>
  </si>
  <si>
    <t>a3b2</t>
  </si>
  <si>
    <t>M8</t>
  </si>
  <si>
    <t>2 unrecognized</t>
  </si>
  <si>
    <t>light-brown eyes</t>
  </si>
  <si>
    <t>a5tye_a4e_a2_P_P_c3e_a_a3b3_a4</t>
  </si>
  <si>
    <t>a4e</t>
  </si>
  <si>
    <t>c3e</t>
  </si>
  <si>
    <t>a</t>
  </si>
  <si>
    <t>a3b3</t>
  </si>
  <si>
    <t>M9</t>
  </si>
  <si>
    <t>very short tail, grandpa</t>
  </si>
  <si>
    <t>26.11.20</t>
  </si>
  <si>
    <t>b1f_a4f_a2_c1_c1_c3f_a3_a4b3_a4</t>
  </si>
  <si>
    <t>b1f</t>
  </si>
  <si>
    <t>a4f</t>
  </si>
  <si>
    <t>a4b3</t>
  </si>
  <si>
    <t>M10</t>
  </si>
  <si>
    <t>2.12.20</t>
  </si>
  <si>
    <t>c1yj_a5j_b_d_d_c3i_b1_a3bP_P</t>
  </si>
  <si>
    <t>c1yj</t>
  </si>
  <si>
    <t>a5j</t>
  </si>
  <si>
    <t>d</t>
  </si>
  <si>
    <t>a3bP</t>
  </si>
  <si>
    <t>M11H</t>
  </si>
  <si>
    <t>makhfi, hazeka</t>
  </si>
  <si>
    <t>25, 29</t>
  </si>
  <si>
    <t>10-13.11.20</t>
  </si>
  <si>
    <t>H12</t>
  </si>
  <si>
    <t>hazeka</t>
  </si>
  <si>
    <t>lone</t>
  </si>
  <si>
    <t>golden-yellow fur</t>
  </si>
  <si>
    <t>19.10.20</t>
  </si>
  <si>
    <t>d2l_a1kl_N_N_N_P_a1_a5b5_a1</t>
  </si>
  <si>
    <t>d2l</t>
  </si>
  <si>
    <t>a1k</t>
  </si>
  <si>
    <t>a5b5</t>
  </si>
  <si>
    <t>H13S</t>
  </si>
  <si>
    <t>Hazeka, saki</t>
  </si>
  <si>
    <t xml:space="preserve"> 21, 11</t>
  </si>
  <si>
    <t>6-7.10.20</t>
  </si>
  <si>
    <t>a1txi_a3i_b_c1a_c1a_c1g_b2_a4b5_a4</t>
  </si>
  <si>
    <t>a1txi</t>
  </si>
  <si>
    <t>c1a</t>
  </si>
  <si>
    <t>a1a</t>
  </si>
  <si>
    <t>c1g</t>
  </si>
  <si>
    <t>H99</t>
  </si>
  <si>
    <t>Hazeka</t>
  </si>
  <si>
    <t>3.4.20</t>
  </si>
  <si>
    <t>a4vyf_a1f_N_P_a2b_c1g_P_a4_a2</t>
  </si>
  <si>
    <t>a4vyf</t>
  </si>
  <si>
    <t>a1f</t>
  </si>
  <si>
    <t>a2b</t>
  </si>
  <si>
    <t>H14</t>
  </si>
  <si>
    <t>24.11.20</t>
  </si>
  <si>
    <t>a4vyf_a3f_a2_c1_c1_c3g_c3_a3_N</t>
  </si>
  <si>
    <t>c3g</t>
  </si>
  <si>
    <t>H15m</t>
  </si>
  <si>
    <t>22,28</t>
  </si>
  <si>
    <t>only one-sided sights, same code, probably the same wolf but not 100%</t>
  </si>
  <si>
    <t>27.8.20-10.9.20</t>
  </si>
  <si>
    <t>2*</t>
  </si>
  <si>
    <t>b1i_a1i_a1_b2_a2_c4g_a4_a4b5_a2</t>
  </si>
  <si>
    <t>b1i</t>
  </si>
  <si>
    <t>c4g</t>
  </si>
  <si>
    <t>K16</t>
  </si>
  <si>
    <t>Keshet-Yonatan</t>
  </si>
  <si>
    <t>8.9.20</t>
  </si>
  <si>
    <t>b1i_a3i_N_N_N_b1ic7c_a4b5_a2</t>
  </si>
  <si>
    <t>K106</t>
  </si>
  <si>
    <t>25.8.20</t>
  </si>
  <si>
    <t>d1m_a1i_N_N_N_dk_N_a4_a2</t>
  </si>
  <si>
    <t>d1m</t>
  </si>
  <si>
    <t>dk</t>
  </si>
  <si>
    <t>K17f</t>
  </si>
  <si>
    <t>Keshet-Yonatan, Firing-Zone</t>
  </si>
  <si>
    <t>3, 51</t>
  </si>
  <si>
    <t>2 light circels on the cheek, poor quality, recognized by uniqe circles on cheek</t>
  </si>
  <si>
    <t>24.8.20-28.10.20</t>
  </si>
  <si>
    <t>3*</t>
  </si>
  <si>
    <t>c2xN_a5i_a2_c1_c1_b1g_N_a4b5_a2</t>
  </si>
  <si>
    <t>c2xN</t>
  </si>
  <si>
    <t>a5i</t>
  </si>
  <si>
    <t>b1g</t>
  </si>
  <si>
    <t>S18</t>
  </si>
  <si>
    <t>Saki</t>
  </si>
  <si>
    <t>25.11.20</t>
  </si>
  <si>
    <t>a1vxe_a10e_b_c2a_c2a_c1f_b1_a4b5_a4</t>
  </si>
  <si>
    <t>a1vxe</t>
  </si>
  <si>
    <t>a10e</t>
  </si>
  <si>
    <t>c2a</t>
  </si>
  <si>
    <t>c1f</t>
  </si>
  <si>
    <t>S100</t>
  </si>
  <si>
    <t>30.11.20</t>
  </si>
  <si>
    <t>a2txf_a1e_a2b_c1b_c1b_c1g_b1_a4b5_a4</t>
  </si>
  <si>
    <t>a2txf</t>
  </si>
  <si>
    <t>c1b</t>
  </si>
  <si>
    <t>S19</t>
  </si>
  <si>
    <t>?</t>
  </si>
  <si>
    <t>10.12.20</t>
  </si>
  <si>
    <t>a4txf_a3f_N_P_N_c1g_c_a4b5_a2</t>
  </si>
  <si>
    <t>a4txf</t>
  </si>
  <si>
    <t>S20</t>
  </si>
  <si>
    <t>15.10.20</t>
  </si>
  <si>
    <t>b3j_a1j_a2a_c2a_c2a_c2g_b1_a4b1_a2</t>
  </si>
  <si>
    <t>b3j</t>
  </si>
  <si>
    <t>a1j</t>
  </si>
  <si>
    <t>a2a</t>
  </si>
  <si>
    <t>a4b1</t>
  </si>
  <si>
    <t>F21</t>
  </si>
  <si>
    <t>Firing-Zone</t>
  </si>
  <si>
    <t>F23, F24</t>
  </si>
  <si>
    <t>a2wxi_a6e_a3b_c1b_c1b_c2g_b1_a4b5_a1</t>
  </si>
  <si>
    <t>a2wxi</t>
  </si>
  <si>
    <t>a6e</t>
  </si>
  <si>
    <t>a3b</t>
  </si>
  <si>
    <t>F104</t>
  </si>
  <si>
    <t>16.11.20</t>
  </si>
  <si>
    <t>a2wzf_a11e_a2b_b1b_Ra1bLa2b_c3g_c_a4b5_a1</t>
  </si>
  <si>
    <t>a2wf</t>
  </si>
  <si>
    <t>a11e</t>
  </si>
  <si>
    <t>b1b</t>
  </si>
  <si>
    <t>Ra1bLa2b</t>
  </si>
  <si>
    <t>F22</t>
  </si>
  <si>
    <t>03.11.20</t>
  </si>
  <si>
    <t>a2tyj_a4j_a2_P_P_c3i_N_a4b4_a2</t>
  </si>
  <si>
    <t>a2tyj</t>
  </si>
  <si>
    <t>a4j</t>
  </si>
  <si>
    <t>a4b4</t>
  </si>
  <si>
    <t>F23</t>
  </si>
  <si>
    <t>F21s, F24</t>
  </si>
  <si>
    <t>collared</t>
  </si>
  <si>
    <t>z1i_a5i_P_Pb5N_N_N_N_N</t>
  </si>
  <si>
    <t>z1i</t>
  </si>
  <si>
    <t>F24</t>
  </si>
  <si>
    <t>F23, F21s</t>
  </si>
  <si>
    <t>red collar</t>
  </si>
  <si>
    <t>z1h_a5f_N_N_N_h_N_a4_N</t>
  </si>
  <si>
    <t>z1h</t>
  </si>
  <si>
    <t>a5f</t>
  </si>
  <si>
    <t>h</t>
  </si>
  <si>
    <t>F25</t>
  </si>
  <si>
    <t>grey</t>
  </si>
  <si>
    <t>06.11.20</t>
  </si>
  <si>
    <t>F26</t>
  </si>
  <si>
    <t>massive, dark back and tail, brown eyes</t>
  </si>
  <si>
    <t>5-23.10.20</t>
  </si>
  <si>
    <t>b1g_a2g_a1b_b1b_a1b_c3h_a3_a3_N</t>
  </si>
  <si>
    <t>a2g</t>
  </si>
  <si>
    <t>a1b</t>
  </si>
  <si>
    <t>c3h</t>
  </si>
  <si>
    <t>Y27</t>
  </si>
  <si>
    <t>Yehodiya</t>
  </si>
  <si>
    <t>dark pack</t>
  </si>
  <si>
    <t>seen together</t>
  </si>
  <si>
    <t>dark face</t>
  </si>
  <si>
    <t>22.11.20</t>
  </si>
  <si>
    <t>a3vze_a4e_a2a_d_a1b_c1e_a1_a1b1d9a2</t>
  </si>
  <si>
    <t>a3vze</t>
  </si>
  <si>
    <t>c1e</t>
  </si>
  <si>
    <t>a1b1</t>
  </si>
  <si>
    <t>Y101</t>
  </si>
  <si>
    <t>6.12.20</t>
  </si>
  <si>
    <t>a4uze_a4e_a2b_c2b_c2b_c1e_a3d8a3b5_a2</t>
  </si>
  <si>
    <t>a4uze</t>
  </si>
  <si>
    <t>c2b</t>
  </si>
  <si>
    <t>Y28</t>
  </si>
  <si>
    <t xml:space="preserve">mostly honey </t>
  </si>
  <si>
    <t>N_a1k_PP_PP_P_ci_N_a6b5_a1</t>
  </si>
  <si>
    <t>ci</t>
  </si>
  <si>
    <t>a6b5</t>
  </si>
  <si>
    <t>Y29</t>
  </si>
  <si>
    <t>3.10.20-22.11.20</t>
  </si>
  <si>
    <t>c1zf_a5f_a3a_c2a_c2a_c1f_a1D_a3b4_a3</t>
  </si>
  <si>
    <t>c1zf</t>
  </si>
  <si>
    <t>a3a</t>
  </si>
  <si>
    <t>a3b4</t>
  </si>
  <si>
    <t>Y30</t>
  </si>
  <si>
    <t>dark face, dark mark o front-left leg</t>
  </si>
  <si>
    <t>16.10.20</t>
  </si>
  <si>
    <t>a4tze_N_b_d_a1b_a3e_c_a3_N</t>
  </si>
  <si>
    <t>a4tze</t>
  </si>
  <si>
    <t>a3e</t>
  </si>
  <si>
    <t>Y31</t>
  </si>
  <si>
    <t>dark mark o front-right leg</t>
  </si>
  <si>
    <t>f_N_b_Rb1aLc2a_Ra1aLc2a_f_p_a3_N</t>
  </si>
  <si>
    <t>Rb1aLc2a</t>
  </si>
  <si>
    <t>Ra1aLc2a</t>
  </si>
  <si>
    <t>Y107</t>
  </si>
  <si>
    <t>23.11.20</t>
  </si>
  <si>
    <t>a1uxf_a4f_a3a_b2a_a1b_a5g_b2_a4b5_a2</t>
  </si>
  <si>
    <t>a1uxf</t>
  </si>
  <si>
    <t>b2a</t>
  </si>
  <si>
    <t>a5g</t>
  </si>
  <si>
    <t>Y32</t>
  </si>
  <si>
    <t>b2e_Ra1eLa10e_a4b_c2b_c2b_c1g_b1_a3b1_a2</t>
  </si>
  <si>
    <t>b2e</t>
  </si>
  <si>
    <t>Ra1eLa10e</t>
  </si>
  <si>
    <t>a4b</t>
  </si>
  <si>
    <t>Y102</t>
  </si>
  <si>
    <t>pack*</t>
  </si>
  <si>
    <t>dark pack*</t>
  </si>
  <si>
    <t>28.11.20</t>
  </si>
  <si>
    <t>b2e_a3e_a2a_b2b_a2b_c1f_b1_a3_a2</t>
  </si>
  <si>
    <t>b2b</t>
  </si>
  <si>
    <t>Y33</t>
  </si>
  <si>
    <t>a1tze_a4e_b_b1b_a1b_c1e_c1e_a3_a3_a2</t>
  </si>
  <si>
    <t>a1tze</t>
  </si>
  <si>
    <t>Y34</t>
  </si>
  <si>
    <t>a5uze_a2e_b_N_a1b_a1e_c_a4_a2</t>
  </si>
  <si>
    <t>a5uze</t>
  </si>
  <si>
    <t>a2e</t>
  </si>
  <si>
    <t>Y35</t>
  </si>
  <si>
    <t>a5txe_a4e_b_N_a1b_a2e_c_a3_N</t>
  </si>
  <si>
    <t>a5txe</t>
  </si>
  <si>
    <t>Y36</t>
  </si>
  <si>
    <t>yehodiya trio</t>
  </si>
  <si>
    <t>Y47, Y48</t>
  </si>
  <si>
    <t>golden fur, dark eyes, pink nose</t>
  </si>
  <si>
    <t>02.11.20-07.12.20</t>
  </si>
  <si>
    <t>d2i_a1k_P_b1a_a1a_c2j_b1_a5b5_a4</t>
  </si>
  <si>
    <t>d2i</t>
  </si>
  <si>
    <t>b1a</t>
  </si>
  <si>
    <t>Y38</t>
  </si>
  <si>
    <t>8, 10</t>
  </si>
  <si>
    <t>golden pack</t>
  </si>
  <si>
    <t>28.08.20-1.9.20</t>
  </si>
  <si>
    <t>Y39</t>
  </si>
  <si>
    <t>9, 10</t>
  </si>
  <si>
    <t xml:space="preserve">golden fur, dark tail </t>
  </si>
  <si>
    <t>30.9.20</t>
  </si>
  <si>
    <t>b3j_a9j_b_Rb1aLd_Ra2bLd6_N_N_a6_N</t>
  </si>
  <si>
    <t>a9j</t>
  </si>
  <si>
    <t>Rb1aLd</t>
  </si>
  <si>
    <t>Ra2bLd</t>
  </si>
  <si>
    <t>a6</t>
  </si>
  <si>
    <t>Y40</t>
  </si>
  <si>
    <r>
      <rPr>
        <rFont val="Arial"/>
        <color theme="1"/>
        <sz val="11.0"/>
      </rPr>
      <t xml:space="preserve">golden fur, dark tail, </t>
    </r>
    <r>
      <rPr>
        <rFont val="Arial"/>
        <b/>
        <color rgb="FFFF0000"/>
        <sz val="11.0"/>
      </rPr>
      <t>seen wounded</t>
    </r>
  </si>
  <si>
    <r>
      <rPr>
        <rFont val="Arial"/>
        <color theme="1"/>
        <sz val="11.0"/>
      </rPr>
      <t>30.9.20-</t>
    </r>
    <r>
      <rPr>
        <rFont val="Arial"/>
        <b/>
        <color rgb="FFFF0000"/>
        <sz val="11.0"/>
      </rPr>
      <t>13.11.20</t>
    </r>
  </si>
  <si>
    <t>b3j_a7j_N_N_N_b1k_c_a6b5_a4</t>
  </si>
  <si>
    <t>a7j</t>
  </si>
  <si>
    <t>Y41</t>
  </si>
  <si>
    <t>golden fur, dark tail, grey face</t>
  </si>
  <si>
    <t>30.9.20-12.10.20</t>
  </si>
  <si>
    <t>a2tyi_a1i_a2a_b2a_a1a_c1i_b1_a7b5_a4</t>
  </si>
  <si>
    <t>a2tyi</t>
  </si>
  <si>
    <t>c1i</t>
  </si>
  <si>
    <t>a7b5</t>
  </si>
  <si>
    <t>Y42</t>
  </si>
  <si>
    <t>9, 8</t>
  </si>
  <si>
    <t>grey-yellow fur, dark tail, grey face</t>
  </si>
  <si>
    <t>30.9.20-27.10</t>
  </si>
  <si>
    <t>a4tyi_a8i_N_b2b_a1b_a3g_c_a4b5_a4</t>
  </si>
  <si>
    <t>a4tyi</t>
  </si>
  <si>
    <t>a8i</t>
  </si>
  <si>
    <t>a3g</t>
  </si>
  <si>
    <t>Y43</t>
  </si>
  <si>
    <t>a1txj_a4_b_d_a1a_c3g_b2_a4_a2</t>
  </si>
  <si>
    <t>a1txj</t>
  </si>
  <si>
    <t>Y44</t>
  </si>
  <si>
    <t xml:space="preserve">golden fur, dark tail, dark-grey face, ‘wave’ pattern on the face </t>
  </si>
  <si>
    <t>a5uyf_a1i_b_b2b_a1b_a4g_c_a4b5_a2</t>
  </si>
  <si>
    <t>a1u</t>
  </si>
  <si>
    <t>Y45</t>
  </si>
  <si>
    <t>golden fur</t>
  </si>
  <si>
    <t>c1xj_a5j_a1a_b1a_a1a_a3g_c_a4b5_a4</t>
  </si>
  <si>
    <t>c1xj</t>
  </si>
  <si>
    <t>Y46</t>
  </si>
  <si>
    <t>black mark on back, black tail</t>
  </si>
  <si>
    <t>11.10.20</t>
  </si>
  <si>
    <t>a1vyh_a1h_a1b_b2b_a1b_c1h_b2_P_N</t>
  </si>
  <si>
    <t>a1vyh</t>
  </si>
  <si>
    <t>a1h</t>
  </si>
  <si>
    <t>c1h</t>
  </si>
  <si>
    <t>Y47</t>
  </si>
  <si>
    <t>Y48, Y36</t>
  </si>
  <si>
    <t>18.10.20-07.12.20</t>
  </si>
  <si>
    <t>b1f_a4f_a2b_Rb2bLN_a2b_c1g_a2_aNb4_a2</t>
  </si>
  <si>
    <t>Rb2bLN</t>
  </si>
  <si>
    <t>aNb4</t>
  </si>
  <si>
    <t>Y48</t>
  </si>
  <si>
    <t>10, 7</t>
  </si>
  <si>
    <t>Y36, Y47</t>
  </si>
  <si>
    <t>6.11.20-07.12.20</t>
  </si>
  <si>
    <t>ayj_N_a2a_b1a_a2a_c1i_c_N_N</t>
  </si>
  <si>
    <t>ayj</t>
  </si>
  <si>
    <t>Y37</t>
  </si>
  <si>
    <t>5.11.20</t>
  </si>
  <si>
    <t>a3uzf_a4f_N_b1a_b1a_c3f_a1_a4b1_a2</t>
  </si>
  <si>
    <t>a3uzf</t>
  </si>
  <si>
    <t>Sh109</t>
  </si>
  <si>
    <t>Shaal</t>
  </si>
  <si>
    <t>shaal east</t>
  </si>
  <si>
    <t>Sh49</t>
  </si>
  <si>
    <t>a3vzf-a4f-N-b2a-a2a-a4h-a1-a3-a4</t>
  </si>
  <si>
    <t>a3zf</t>
  </si>
  <si>
    <t>a3h</t>
  </si>
  <si>
    <t>16, 17</t>
  </si>
  <si>
    <t>Sh37y</t>
  </si>
  <si>
    <t>massive</t>
  </si>
  <si>
    <t>03.10.20-11.10.20</t>
  </si>
  <si>
    <t>b1i_a3i_a1a_b2a_a1a_c3i_b2_a3b5_a3</t>
  </si>
  <si>
    <t>Sh50</t>
  </si>
  <si>
    <t>7 min after Sh49+Sh37y</t>
  </si>
  <si>
    <t>light fur near the ears</t>
  </si>
  <si>
    <t>9-11.10.20</t>
  </si>
  <si>
    <t>b2i_a1i_N_N_N_c1i_b2_a3_a2</t>
  </si>
  <si>
    <t>b2i</t>
  </si>
  <si>
    <t>Sh51</t>
  </si>
  <si>
    <t>12-29.10.20</t>
  </si>
  <si>
    <t>b4i_a9i_a1a_b2a_a1a_c3i_a2_a4b1_a2</t>
  </si>
  <si>
    <t>b4i</t>
  </si>
  <si>
    <t>a9i</t>
  </si>
  <si>
    <t>Sh52</t>
  </si>
  <si>
    <t>Sh53+1 unrecognized</t>
  </si>
  <si>
    <t xml:space="preserve">loves mud </t>
  </si>
  <si>
    <t>b4i_a1i_a2a_b1a_a1a_b2i_b2_N_N</t>
  </si>
  <si>
    <t>Sh53</t>
  </si>
  <si>
    <t>Sh52+1 unrecognized</t>
  </si>
  <si>
    <t>19.10.20-17.11.20</t>
  </si>
  <si>
    <t>b3j_a1j_b_b1a_a2a_c3g_b1_a4b5_a4</t>
  </si>
  <si>
    <t>Sh54</t>
  </si>
  <si>
    <t xml:space="preserve">”tringle” shape on the cheek </t>
  </si>
  <si>
    <t>23.10.20</t>
  </si>
  <si>
    <t>c1yi_a5i_b_d_d_c3g_b1_a3b5_a4</t>
  </si>
  <si>
    <t>c1yi</t>
  </si>
  <si>
    <t>Sh55</t>
  </si>
  <si>
    <t>Shaal west</t>
  </si>
  <si>
    <t>13.9.20</t>
  </si>
  <si>
    <t>a5uze_N_N_N_N_N_N_a4_a3</t>
  </si>
  <si>
    <t>Sh57</t>
  </si>
  <si>
    <t>Shaal west?</t>
  </si>
  <si>
    <t>seen together?</t>
  </si>
  <si>
    <t>unrecognized like him seen with the pack, seen wondering in the same tritoty as the pack</t>
  </si>
  <si>
    <t>23.10-30.11.20</t>
  </si>
  <si>
    <t>a3tyf_a2f_N_b1b_a1b_c1f_a1_a4b5_a2</t>
  </si>
  <si>
    <t>a3tyf</t>
  </si>
  <si>
    <t>Sh59</t>
  </si>
  <si>
    <t>18.11.20</t>
  </si>
  <si>
    <t>c1zf_a5f_N_N_N_a3f_N_a5bN_N</t>
  </si>
  <si>
    <t>a5bN</t>
  </si>
  <si>
    <t>Sl60</t>
  </si>
  <si>
    <t>Slopes</t>
  </si>
  <si>
    <t>46, 47</t>
  </si>
  <si>
    <t>slopes?</t>
  </si>
  <si>
    <t>light fur</t>
  </si>
  <si>
    <t>14.09.20</t>
  </si>
  <si>
    <t>d2j_a7j_N_N_N_c2i_a1_a8b5_a4</t>
  </si>
  <si>
    <t>d2j</t>
  </si>
  <si>
    <t>c2i</t>
  </si>
  <si>
    <t>a8b5</t>
  </si>
  <si>
    <t>Sl61</t>
  </si>
  <si>
    <t>a3tzh_a1h_a2a_b2a_a2a_a3g_N_a3_a2</t>
  </si>
  <si>
    <t>a3tzh</t>
  </si>
  <si>
    <t>Sl62</t>
  </si>
  <si>
    <t>light circle on the cheek</t>
  </si>
  <si>
    <t>25.9.20</t>
  </si>
  <si>
    <t>c1ye_a5e_N_b2b_a1b_b1e_c_a4_a2</t>
  </si>
  <si>
    <t>c1ye</t>
  </si>
  <si>
    <t>a5e</t>
  </si>
  <si>
    <t>b1e</t>
  </si>
  <si>
    <t>Sl103</t>
  </si>
  <si>
    <t>c2ze_a5g_N_b2b_N_a4f_a1_a3b4_a3</t>
  </si>
  <si>
    <t>c2ze</t>
  </si>
  <si>
    <t>Sl64</t>
  </si>
  <si>
    <t>a4vzf_a4f_a1b_b2a_a1b_b1f_c_a4b5_a4</t>
  </si>
  <si>
    <t>a4vzf</t>
  </si>
  <si>
    <t>Sl65</t>
  </si>
  <si>
    <t>3.10.20</t>
  </si>
  <si>
    <t>a1txh_N_a2a_c2a_c2a_b1g_c_a7b5_a2</t>
  </si>
  <si>
    <t>a1txh</t>
  </si>
  <si>
    <t>O66</t>
  </si>
  <si>
    <t>31, omer weiner</t>
  </si>
  <si>
    <t>massive, light-fur, darker back</t>
  </si>
  <si>
    <t>5.12.20</t>
  </si>
  <si>
    <t>d2j_a7l_a2a_b2a_N_c2i_c_a6b5_a4</t>
  </si>
  <si>
    <t>a7l</t>
  </si>
  <si>
    <t>O67</t>
  </si>
  <si>
    <t>31, 33</t>
  </si>
  <si>
    <t>Odem west</t>
  </si>
  <si>
    <t>29.8-23.11.20</t>
  </si>
  <si>
    <t>b1i_a2i_N_b2a_a1a_c1i_a1_a4b5_a4</t>
  </si>
  <si>
    <t>a2i</t>
  </si>
  <si>
    <t>O68</t>
  </si>
  <si>
    <t>dark fur, light brows, light shape on the cheek</t>
  </si>
  <si>
    <t>29.8-29</t>
  </si>
  <si>
    <t>a5uxf_a1f_b_N_N_a6f_a1_a3b5_a2</t>
  </si>
  <si>
    <t>a5uxf</t>
  </si>
  <si>
    <t>a6f</t>
  </si>
  <si>
    <t>O69</t>
  </si>
  <si>
    <t>29.8.20</t>
  </si>
  <si>
    <t>d2k_a1k_b_d_a1a_b2j_c_a5b5_a4</t>
  </si>
  <si>
    <t>b2j</t>
  </si>
  <si>
    <t>O70</t>
  </si>
  <si>
    <t>28.9-29.11.20</t>
  </si>
  <si>
    <t>c1yf_a5f_Ra2bLb_b2b_a1b_c1f_a1_a3b3_a2</t>
  </si>
  <si>
    <t>c1yf</t>
  </si>
  <si>
    <t>Ra2bLb</t>
  </si>
  <si>
    <t>O71</t>
  </si>
  <si>
    <t>28.9-11.12.20</t>
  </si>
  <si>
    <t>b4i_a8i_b_b2b_a1b_c1g_a1_a4b5_a2</t>
  </si>
  <si>
    <t>b4f</t>
  </si>
  <si>
    <t>O72</t>
  </si>
  <si>
    <t>28.9.20</t>
  </si>
  <si>
    <t>a1wyi_a4i_b_d_N_c3i_b1_a3b5_a2</t>
  </si>
  <si>
    <t>a1wyi</t>
  </si>
  <si>
    <t>a4i</t>
  </si>
  <si>
    <t>O73</t>
  </si>
  <si>
    <t>dark fur, 2 light circles on the cheek, dark mark on front-right leg</t>
  </si>
  <si>
    <t>8.10.20</t>
  </si>
  <si>
    <t>c2xe_a5e_N_b2b_N_N_N_a2b3_a3</t>
  </si>
  <si>
    <t>c2xe</t>
  </si>
  <si>
    <t>a2b3</t>
  </si>
  <si>
    <t>O74</t>
  </si>
  <si>
    <t>Odem South</t>
  </si>
  <si>
    <t>28.9-13.11.20</t>
  </si>
  <si>
    <t>c1ze_a5e_a2a_c1b_c1b_a2e_N_a1_a3</t>
  </si>
  <si>
    <t>c1ze</t>
  </si>
  <si>
    <t>O75</t>
  </si>
  <si>
    <t>28.9-7.12.20</t>
  </si>
  <si>
    <t>ae_N_a3b_c1b_c1b_e_N_a1_a3</t>
  </si>
  <si>
    <t>ae</t>
  </si>
  <si>
    <t>e</t>
  </si>
  <si>
    <t>O76</t>
  </si>
  <si>
    <t>34, 35</t>
  </si>
  <si>
    <t>Odem East</t>
  </si>
  <si>
    <t>light gray-yellow fur</t>
  </si>
  <si>
    <t>22.10-12.12.20</t>
  </si>
  <si>
    <t>b1i_a10i_N_N_N_c1f_c_a4_a2</t>
  </si>
  <si>
    <t>a10i</t>
  </si>
  <si>
    <t>O77</t>
  </si>
  <si>
    <t>Ra3vzfLb1f_a2f_a2b_b2b_a1b_b1g_c_a4_a2</t>
  </si>
  <si>
    <t>Ra3vzfLb1f</t>
  </si>
  <si>
    <t>O78</t>
  </si>
  <si>
    <t>7.11-6.12.20</t>
  </si>
  <si>
    <t>Ra4vxiLa4txi_Ra7iLa10_a4a_P_N_c1g_P_a4b2_a3</t>
  </si>
  <si>
    <t>Ra4vxiLa4txi</t>
  </si>
  <si>
    <t>Ra7iLa10</t>
  </si>
  <si>
    <t>a4a</t>
  </si>
  <si>
    <t>a4b2</t>
  </si>
  <si>
    <t>O80</t>
  </si>
  <si>
    <t>b3k_a1k_b_d_a1a_b1j_c_a5b5_a1</t>
  </si>
  <si>
    <t>b3k</t>
  </si>
  <si>
    <t>b1j</t>
  </si>
  <si>
    <t>O81</t>
  </si>
  <si>
    <t>13.11.20</t>
  </si>
  <si>
    <t>a2vye_a3e_P_b2b_a1b_a3f_a1_a3_a3</t>
  </si>
  <si>
    <t>a2vye</t>
  </si>
  <si>
    <t>O82</t>
  </si>
  <si>
    <t>35, 32</t>
  </si>
  <si>
    <t>light beige fur, dog-like features</t>
  </si>
  <si>
    <t>11-20.11.20</t>
  </si>
  <si>
    <t>b2l_N_N_Pa_N_dl_c_a8_a1</t>
  </si>
  <si>
    <t>b2l</t>
  </si>
  <si>
    <t>Pa</t>
  </si>
  <si>
    <t>dl</t>
  </si>
  <si>
    <t>a8</t>
  </si>
  <si>
    <t>Sn83</t>
  </si>
  <si>
    <t>Snir</t>
  </si>
  <si>
    <t>29.11.20</t>
  </si>
  <si>
    <t>b3i_a7j_N_N_N_b2g_c_a5b3_a4</t>
  </si>
  <si>
    <t>b3i</t>
  </si>
  <si>
    <t>b2g</t>
  </si>
  <si>
    <t>a5b3</t>
  </si>
  <si>
    <t>Sn84</t>
  </si>
  <si>
    <t>a1txg_a1g_N_N_b1h_c_a4_a2</t>
  </si>
  <si>
    <t>a1txg</t>
  </si>
  <si>
    <t>a1g</t>
  </si>
  <si>
    <t>b1h</t>
  </si>
  <si>
    <t>Sn85</t>
  </si>
  <si>
    <t>i_i_N_P_N_b1g_c_a4b1_a2</t>
  </si>
  <si>
    <t>i</t>
  </si>
  <si>
    <t>Ma87sn</t>
  </si>
  <si>
    <t>Snir,  masade</t>
  </si>
  <si>
    <t>masade</t>
  </si>
  <si>
    <t>59, 40</t>
  </si>
  <si>
    <t>1.11-6.12.20</t>
  </si>
  <si>
    <t>a2tyf_a7f_a1b_b1b_a1b_c1f_a1_a4b5_a4</t>
  </si>
  <si>
    <t>a2tyf</t>
  </si>
  <si>
    <t>a7f</t>
  </si>
  <si>
    <t>Ma88</t>
  </si>
  <si>
    <t>14.10.20</t>
  </si>
  <si>
    <t>d1m_a3l_a3_c1b_c1b_c2h_c_a7_a2</t>
  </si>
  <si>
    <t>a3l</t>
  </si>
  <si>
    <t>c2h</t>
  </si>
  <si>
    <t>a7</t>
  </si>
  <si>
    <t>In89</t>
  </si>
  <si>
    <t>golan</t>
  </si>
  <si>
    <t>omer weiner</t>
  </si>
  <si>
    <t>dark fur</t>
  </si>
  <si>
    <t>e_e_N_b2a_a2b_a7f_b2_N_N</t>
  </si>
  <si>
    <t>Mg90</t>
  </si>
  <si>
    <t>marom golan</t>
  </si>
  <si>
    <t>big ears, tringle shape on the cheek, erez's female</t>
  </si>
  <si>
    <t>c1yi_a5i_a2b_c3b_c3b_a3f_a1_a4_N</t>
  </si>
  <si>
    <t>c3b</t>
  </si>
  <si>
    <t>In91</t>
  </si>
  <si>
    <t>ariel shamir</t>
  </si>
  <si>
    <t>light neck, dark face</t>
  </si>
  <si>
    <t>12.2016-1.2019</t>
  </si>
  <si>
    <t>e_e_N_N_N_a4e_a1_a7_a4</t>
  </si>
  <si>
    <t>In92</t>
  </si>
  <si>
    <t>dark fur, light brows</t>
  </si>
  <si>
    <t>a2ze_e_a2a_b1b_a2b_e_P_N_N</t>
  </si>
  <si>
    <t>a2ze</t>
  </si>
  <si>
    <t>In93</t>
  </si>
  <si>
    <t>dark fur, light face</t>
  </si>
  <si>
    <t>d1m_a3e_a2b_c1b_c1b_c1f_P_N_N</t>
  </si>
  <si>
    <t>In94</t>
  </si>
  <si>
    <t>white area on the neck, husky-like</t>
  </si>
  <si>
    <t>e_e_N_N_N_c1e_b1_a1_a3</t>
  </si>
  <si>
    <t>In95</t>
  </si>
  <si>
    <t xml:space="preserve">dark orange fur </t>
  </si>
  <si>
    <t>b1l_a2e_N_c1b_c1b_b1j_c_a2_a3</t>
  </si>
  <si>
    <t>In96</t>
  </si>
  <si>
    <t>grey fur, light fur around nose</t>
  </si>
  <si>
    <t>a2wyg_a4g_a3b_c1b_c1b_dl_c_a7b5_a2</t>
  </si>
  <si>
    <t>a2wyg</t>
  </si>
  <si>
    <t>In97</t>
  </si>
  <si>
    <t>elimelech</t>
  </si>
  <si>
    <t>a2wyi_i_N_N_N_i_N_a4_N</t>
  </si>
  <si>
    <t>a2wyi</t>
  </si>
  <si>
    <t>In98</t>
  </si>
  <si>
    <t>moshe_neeman</t>
  </si>
  <si>
    <t>c1zi_a5i_a2b_c2b_c2b_c1g_c_a7_a2</t>
  </si>
  <si>
    <t>c1zi</t>
  </si>
  <si>
    <t>In105</t>
  </si>
  <si>
    <t>nevo_</t>
  </si>
  <si>
    <t>collared, likely have scabias, his legs doesn't look good</t>
  </si>
  <si>
    <t>b4g_a10g_b_b1a_a1a_b2f_b2_N_N</t>
  </si>
  <si>
    <t>b4g</t>
  </si>
  <si>
    <t>a10g</t>
  </si>
  <si>
    <t>b2f</t>
  </si>
  <si>
    <t>תז</t>
  </si>
  <si>
    <t>A1a5txeA2a1eB3NB4PB5NC6a3fC7a1D8a2b5D9a2</t>
  </si>
  <si>
    <t>A1b1lA2a3iB3bB4c2B5c2C6a3iC7cD8a4b5D9a2</t>
  </si>
  <si>
    <t>A1a5uyfA2a4B3a2B4c1B5c1C6a4gC7cD8PD9P</t>
  </si>
  <si>
    <t>A1d2kA2a7klB3bB4bB5bC6c2jC7b2D8a5D9a2</t>
  </si>
  <si>
    <t>A1a2wyfA2fRa6La1B3a3B4c1B5c1C6c2gC7b1D8a3b1D9a3</t>
  </si>
  <si>
    <t>A1b1kA2a1iB3a3B4c1B5c1C6c3iC7a2D8a3b5D9b2</t>
  </si>
  <si>
    <t>A1a4tzfA2a2fB3a1B4NB5PC6c3fC7a3D8a3b2D9a2</t>
  </si>
  <si>
    <t>A1a5tyeA2a4eB3a2B4PB5PC6c3eC7aD8a3b3D9a4</t>
  </si>
  <si>
    <t>A1b1fA2a4fB3a2B4c1B5c1C6c3fC7a3D8a4b3D9a4</t>
  </si>
  <si>
    <t>A1c1yjA2a5jB3bB4dB5dC6c3iC7b1D8a3bPD9P</t>
  </si>
  <si>
    <t>A2ah</t>
  </si>
  <si>
    <t>A1d2lA2a1klB3NB4NB5NC6PC7a1D8a5b5D9a1</t>
  </si>
  <si>
    <t>A1a1txiA2a3iB3bB4c1aB5c1aC6c1gC7b2D8a4b5D9a4</t>
  </si>
  <si>
    <t>A1a4vyfA2a1fB3NB4PB5a2bC6c1gC7PD8a4D9a2</t>
  </si>
  <si>
    <t>A1a4vyfA2a3fB3a2B4c1B5c1C6c3gC7c3D8a3D9N</t>
  </si>
  <si>
    <t>21, 22, 28</t>
  </si>
  <si>
    <t>27.8.20-28.9.20</t>
  </si>
  <si>
    <t>A1b1iA2a1iB3a1B4b2B5a2C6c4gC7a4D8a4b5D9a2</t>
  </si>
  <si>
    <t>A1b1iA2a3iB3NB4NB5NC6b1ic7cD8a4b5D9a2</t>
  </si>
  <si>
    <t>2 light circels on the cheek</t>
  </si>
  <si>
    <t>A1c2xNA2a5iB3a2B4c1B5c1C6b1gC7ND8a4b5D9a2</t>
  </si>
  <si>
    <t>A1a1vxeA2a10eB3bB4c2aB5c2aC6c1fC7b1D8a4b5D9a4</t>
  </si>
  <si>
    <t>A1a2txfA2a1eB3a2bB4c1bB5c1bC6c1gC7b1D8a4b5D9a4</t>
  </si>
  <si>
    <t>A1a4txfA2a3fB3NB4PB5NC6c1gC7cD8a4b5D9a2</t>
  </si>
  <si>
    <t>A1b3jA2a1jB3a2aB4c2aB5c2aC6c2gC7b1D8a4b1D9a2</t>
  </si>
  <si>
    <t>F21s</t>
  </si>
  <si>
    <t>Saki, Firing-Zone</t>
  </si>
  <si>
    <t>12, 53</t>
  </si>
  <si>
    <t>03.11.20-13.12.20</t>
  </si>
  <si>
    <t>A1a2tyjA2a4jB3a2B4PB5PC6c3iC7ND8a4b4D9a2</t>
  </si>
  <si>
    <t>A1z1iA2a5iB3PB4Pb5NC6NC7ND8ND9N</t>
  </si>
  <si>
    <t>A1z1hA2a5fB3NB4NB5NC6hC7ND8a4D9N</t>
  </si>
  <si>
    <t>A1b1gA2a2gB3a1bB4b1bB5a1bC6c3hC7a3D8a3D9N</t>
  </si>
  <si>
    <t>A1a3vzeA2a4eB3a2aB4dB5a1bC6c1eC7a1D8a1b1d9a2</t>
  </si>
  <si>
    <t>A1a4uzeA2a4eB3a2bB4c2bB5c2bC6c1eC7a3d8a3b5D9a2</t>
  </si>
  <si>
    <t>A1NA2a1kB3PPB4PPB5PC6ciC7ND8a6b5D9a1</t>
  </si>
  <si>
    <t>A1c1zfA2a5fB3a3aB4c2aB5c2aC6c1fC7a1DD8a3b4D9a3</t>
  </si>
  <si>
    <t>A1a4tzeA2NB3bB4dB5a1bC6a3eC7cD8a3D9N</t>
  </si>
  <si>
    <t>16.10.20-23.11.20</t>
  </si>
  <si>
    <t>A1a1uxfA2a3fB3bB4Rb1aLc2aB5Rb1aLc2a2aC6a5gC7b2D8a4b5D9a2</t>
  </si>
  <si>
    <t>16.10.20-28.11.20</t>
  </si>
  <si>
    <t>A1b2eA2Ra1eLa10eB3a4bB4c2bB5c2bC6c1gC7b1D8a3b1D9a2</t>
  </si>
  <si>
    <t>A1b2eA2a3eB3a2aB4b2bB5a2bC6c1fC7b1D8a3D9a2</t>
  </si>
  <si>
    <t>A1a1tzeA2a4eB3bB4b1bB5a1bC6c1eC6c1eC7a3D8a3D9a2</t>
  </si>
  <si>
    <t>A1a5uzeA2a2eB3bB4NB5a1bC6a1eC7cD8a4D9a2</t>
  </si>
  <si>
    <t>A1a5txeA2a4eB3bB4NB5a1bC6a2eC7cD8a3D9N</t>
  </si>
  <si>
    <t>A1d2iA2a1kB3PB4b1aB5a1aC6c2jC7b1D8a5b5D9a4</t>
  </si>
  <si>
    <t>A1b3jA2a9jB3bB4Rb1aLdB5Ra2bLd6C6NC7ND8a6D9N</t>
  </si>
  <si>
    <r>
      <rPr>
        <rFont val="Arial"/>
        <color theme="1"/>
        <sz val="11.0"/>
      </rPr>
      <t xml:space="preserve">golden fur, dark tail, </t>
    </r>
    <r>
      <rPr>
        <rFont val="Arial"/>
        <b/>
        <color rgb="FFFF0000"/>
        <sz val="11.0"/>
      </rPr>
      <t>seen wounded</t>
    </r>
  </si>
  <si>
    <r>
      <rPr>
        <rFont val="Arial"/>
        <color theme="1"/>
        <sz val="11.0"/>
      </rPr>
      <t>30.9.20-</t>
    </r>
    <r>
      <rPr>
        <rFont val="Arial"/>
        <b/>
        <color rgb="FFFF0000"/>
        <sz val="11.0"/>
      </rPr>
      <t>13.11.20</t>
    </r>
  </si>
  <si>
    <t>A1b3jA2a7jB3NB4NB5NC6b1kC7cD8a6b5D9a4</t>
  </si>
  <si>
    <t>A1a2tyiA2a1iB3a2aB4b2aB5a1aC6c1iC7b1D8a7b5D9a4</t>
  </si>
  <si>
    <t>A1a4tyiA2a8iB3NB4b2bB5a1bC6a3gC7cD8a4b5D8a4</t>
  </si>
  <si>
    <t>A1a1txjA2a4B3bB4dB5a1aC6c3gC7b2D8a4D9a2</t>
  </si>
  <si>
    <t>A1a5uyfA2a1iB3bB4b2bB5a1bC6a4gC7cD8a4b5D9a2</t>
  </si>
  <si>
    <t>A1c1xjA2a5jB3a1aB4b1aB5a1aC6a3gC7cD8a4b5D9a4</t>
  </si>
  <si>
    <t>A1a1vyhA2a1hB3a1bB4b2bB5a1bC6c1hC7b2D8PD9N</t>
  </si>
  <si>
    <t>A1b1fA2a4fB3a2bB4Rb2bLNB5a2bC6c1gC7a2D8aNb4D9a2</t>
  </si>
  <si>
    <t>A1ayjA2NB3a2aB4b1aB5a2aC6c1iC7cD8ND9N</t>
  </si>
  <si>
    <t>Yehodiya, Shaal</t>
  </si>
  <si>
    <t>7, 17</t>
  </si>
  <si>
    <t>11.10-5.11.20</t>
  </si>
  <si>
    <t>A1a3uzfA2a4fB3NB4b1aB5b1aC6c3fC7a1D8a4b1D9a2</t>
  </si>
  <si>
    <t>03.10.20-14.11.20</t>
  </si>
  <si>
    <t>A1b2iA2a1iB3a1aB4b2aB5a1aC6b2jC7b2D8a3b5D9a3</t>
  </si>
  <si>
    <t>A1b2iA2a1iB3NB4NB5NC6c1iC7b2D8a3D9a2</t>
  </si>
  <si>
    <t>A1b4iA2a9iB3a1aB4b2aB5a1aC6c3iC7a2D8a4b1D9a2</t>
  </si>
  <si>
    <t>A1b4iA2a1iB3a2aB4b1aB5a1aC6b2iC7b2D8ND9N</t>
  </si>
  <si>
    <t>A1b3jA2a1jB3bB4b1aB5a2aC6c3gC7b1D8a4b5D9a4</t>
  </si>
  <si>
    <t>A1c1yiA2a5iB3bB4dB5dC6c3gC7b1D8a3b5D9a4</t>
  </si>
  <si>
    <t>3-6.11.20</t>
  </si>
  <si>
    <t>A1a5uzeA2NB3NB4NB5NC6NC7ND8a4D9a3</t>
  </si>
  <si>
    <t>Sh56</t>
  </si>
  <si>
    <t>6.11.20</t>
  </si>
  <si>
    <t>A1a3tyfA2a2fB3NB4b1bB5a1bC6c1fC7a1D8a4b5D9a2</t>
  </si>
  <si>
    <t>Sh58</t>
  </si>
  <si>
    <t>seen wondering in the same tritoty and dates as the pack</t>
  </si>
  <si>
    <t>19.11-04.12.20</t>
  </si>
  <si>
    <t>A1c1zfA2a5fB3NB4NB5NC6a3fC7ND8a5bND9N</t>
  </si>
  <si>
    <t>Sl63</t>
  </si>
  <si>
    <t>A1d2jA2a7jB3NB4NB5NC6c2iC7a1D8a8b5D9a4</t>
  </si>
  <si>
    <t>A1a3tzhA2a1hB3a2aB4b2aB5a2aC6a3gC7ND8a3D9a2</t>
  </si>
  <si>
    <t>25.9-25.11.20</t>
  </si>
  <si>
    <t>31.10-13.11.20</t>
  </si>
  <si>
    <t>A1a4vzfA2a4fB3a1bB4b2aB5a1bC6b1fC7cD8a4b5D9a4</t>
  </si>
  <si>
    <t>A1a1txhA2NB3a2aB4c2aB5c2aC6b1gC7cD8a7b5D9a2</t>
  </si>
  <si>
    <t>A1d2jA2a7lB3a2aB4b2aB5NC6c2iC7cD8a6b5D9a4</t>
  </si>
  <si>
    <t>A1b1iA2a2iB3NB4b2aB5a1aC6c1iC7a1D8a4b5D9a4</t>
  </si>
  <si>
    <t>A1a5uxfA2a1fB3bB4NB5NC6a6fC7a1D8a3b5D9a2</t>
  </si>
  <si>
    <t>A1d2kA2a1kB3bB4dB5a1aC6b2jC7cD8a5b5D9a4</t>
  </si>
  <si>
    <t>A1c1yfA2a5fB3Ra2bLbB4b2bB5a1bC6c1fC7a1D8a3b3D9a2</t>
  </si>
  <si>
    <t>A1b4iA2a8iB3bB4b2bB5a1bC6c1gC7a1D8a4b5D9a2</t>
  </si>
  <si>
    <t>A1a1wyiA2a4iB3bB4dB5NC6c3iC7b1D8a3b5D9a2</t>
  </si>
  <si>
    <t>A1c2xeA2a5eB3NB4b2bB5NC6b1gC7ND8a2b3D9a3</t>
  </si>
  <si>
    <t>A1c1zeA2a5eB3a2aB4c1bB5c1bC6a2eC7ND8a1D9a3</t>
  </si>
  <si>
    <t>A1aeA2NB3a3bB4c1bB5c1bC6eC7ND8a1D9a3</t>
  </si>
  <si>
    <t>A1Ra3vzfLb1fA2a2fB3a2bB4b2bB5a1bC6b1gC7cD8a4D9a2</t>
  </si>
  <si>
    <t>O79</t>
  </si>
  <si>
    <t>זיהוי לא ודאי מספיק, למחוק</t>
  </si>
  <si>
    <t>10-28.11.20</t>
  </si>
  <si>
    <t>A1b3kA2a1kB3bB4dB5a1aC6b1jC7cD8a5b5D9a1</t>
  </si>
  <si>
    <t>A1a2vyeA2a3eB3PB4b2bB5a1bC6a3fC7a1D8a3D9a3</t>
  </si>
  <si>
    <t>A1b2nA2NB3NB4PaB5NC6dlC7cD8a8D9a1</t>
  </si>
  <si>
    <t>b2n</t>
  </si>
  <si>
    <t>A1b3iA2a7jB3NB4NB5NC6b2gC7cD8a5b3D9a4</t>
  </si>
  <si>
    <t>A1a1txgA2a1gB3NB5NC6b1hC7cD8a4D9a2</t>
  </si>
  <si>
    <t>A1iA2iB3NB4PB5NC6b1gC7cD8a4b1D9a2</t>
  </si>
  <si>
    <t>Sn86</t>
  </si>
  <si>
    <t>A1a2tyfA2a7fB3a1bB4b1bB5a1bC6c1fC7a1D8a4b5D9a4</t>
  </si>
  <si>
    <t>A1d1mA2a3lB3a3B4c1bB5c1bC6c2hC7cD8a7D9a2</t>
  </si>
  <si>
    <t>A1eA2eB3NB4b2aB5a2bC6a7fC7b2D8ND9N</t>
  </si>
  <si>
    <t>A1c1yiA2a5iB3a2bB4c3bB5c3bC6a3fC7a1D8a4D9N</t>
  </si>
  <si>
    <t>A1eA2eB3NB4NB5NC6a4eC7a1D8a7D9a4</t>
  </si>
  <si>
    <t>A1a2wyiA2iB3NB4NB5NC6iC7ND8a4D9N</t>
  </si>
  <si>
    <t>A1c1ziA2a5iB3a2bB4c2bB5c2bC6c1gC7cD8a7D9a2</t>
  </si>
  <si>
    <t>data</t>
  </si>
  <si>
    <t>social dynamics numbers</t>
  </si>
  <si>
    <t>poligon</t>
  </si>
  <si>
    <t># wolves</t>
  </si>
  <si>
    <t>#wolves in packs</t>
  </si>
  <si>
    <t>#wolves in groups</t>
  </si>
  <si>
    <t>#unknown</t>
  </si>
  <si>
    <t>#lone wolves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</si>
</sst>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Arial"/>
      <scheme val="minor"/>
    </font>
    <font>
      <sz val="11.0"/>
      <color theme="1"/>
      <name val="Arial"/>
    </font>
    <font>
      <b/>
      <sz val="11.0"/>
      <color rgb="FFFA7D00"/>
      <name val="Arial"/>
    </font>
    <font>
      <color theme="1"/>
      <name val="Arial"/>
      <scheme val="minor"/>
    </font>
    <font>
      <sz val="11.0"/>
      <color rgb="FF9C0006"/>
      <name val="Arial"/>
    </font>
    <font>
      <sz val="11.0"/>
      <color rgb="FF3F3F76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CCFF"/>
        <bgColor rgb="FFFFCCFF"/>
      </patternFill>
    </fill>
    <fill>
      <patternFill patternType="solid">
        <fgColor rgb="FFFFCCCC"/>
        <bgColor rgb="FFFFCCCC"/>
      </patternFill>
    </fill>
    <fill>
      <patternFill patternType="solid">
        <fgColor rgb="FF2E75B5"/>
        <bgColor rgb="FF2E75B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0070C0"/>
        <bgColor rgb="FF0070C0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  <fill>
      <patternFill patternType="solid">
        <fgColor rgb="FFCCCCFF"/>
        <bgColor rgb="FFCCCCFF"/>
      </patternFill>
    </fill>
    <fill>
      <patternFill patternType="solid">
        <fgColor rgb="FFFFE0CD"/>
        <bgColor rgb="FFFFE0CD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FFCCFFCC"/>
        <bgColor rgb="FFCCFFCC"/>
      </patternFill>
    </fill>
    <fill>
      <patternFill patternType="solid">
        <fgColor rgb="FFF7CAAC"/>
        <bgColor rgb="FFF7CAAC"/>
      </patternFill>
    </fill>
    <fill>
      <patternFill patternType="solid">
        <fgColor rgb="FFF4B083"/>
        <bgColor rgb="FFF4B083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/>
      <top/>
      <bottom/>
    </border>
    <border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 style="thin">
        <color rgb="FF000000"/>
      </right>
      <bottom/>
    </border>
    <border>
      <left/>
      <right/>
      <bottom/>
    </border>
    <border>
      <left/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7F7F7F"/>
      </left>
      <right style="thin">
        <color rgb="FF7F7F7F"/>
      </right>
      <top/>
      <bottom style="thin">
        <color rgb="FF7F7F7F"/>
      </bottom>
    </border>
    <border>
      <left/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0" xfId="0" applyAlignment="1" applyFont="1">
      <alignment readingOrder="0"/>
    </xf>
    <xf borderId="1" fillId="2" fontId="1" numFmtId="0" xfId="0" applyBorder="1" applyFill="1" applyFont="1"/>
    <xf borderId="1" fillId="3" fontId="1" numFmtId="0" xfId="0" applyBorder="1" applyFill="1" applyFont="1"/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ont="1">
      <alignment horizontal="center"/>
    </xf>
    <xf borderId="2" fillId="4" fontId="1" numFmtId="0" xfId="0" applyBorder="1" applyFont="1"/>
    <xf borderId="2" fillId="4" fontId="1" numFmtId="0" xfId="0" applyBorder="1" applyFont="1"/>
    <xf borderId="3" fillId="5" fontId="2" numFmtId="0" xfId="0" applyBorder="1" applyFill="1" applyFont="1"/>
    <xf borderId="3" fillId="0" fontId="2" numFmtId="0" xfId="0" applyBorder="1" applyFont="1"/>
    <xf borderId="1" fillId="0" fontId="1" numFmtId="0" xfId="0" applyBorder="1" applyFont="1"/>
    <xf borderId="4" fillId="0" fontId="1" numFmtId="0" xfId="0" applyBorder="1" applyFont="1"/>
    <xf borderId="5" fillId="6" fontId="1" numFmtId="0" xfId="0" applyBorder="1" applyFill="1" applyFont="1"/>
    <xf borderId="6" fillId="6" fontId="1" numFmtId="0" xfId="0" applyBorder="1" applyFont="1"/>
    <xf borderId="2" fillId="7" fontId="1" numFmtId="0" xfId="0" applyAlignment="1" applyBorder="1" applyFill="1" applyFont="1">
      <alignment horizontal="center" vertical="center"/>
    </xf>
    <xf borderId="2" fillId="7" fontId="1" numFmtId="0" xfId="0" applyAlignment="1" applyBorder="1" applyFont="1">
      <alignment horizontal="center"/>
    </xf>
    <xf borderId="2" fillId="7" fontId="1" numFmtId="0" xfId="0" applyBorder="1" applyFont="1"/>
    <xf borderId="5" fillId="7" fontId="1" numFmtId="0" xfId="0" applyBorder="1" applyFont="1"/>
    <xf borderId="2" fillId="7" fontId="1" numFmtId="0" xfId="0" applyBorder="1" applyFont="1"/>
    <xf borderId="6" fillId="8" fontId="1" numFmtId="0" xfId="0" applyBorder="1" applyFill="1" applyFont="1"/>
    <xf borderId="7" fillId="0" fontId="1" numFmtId="0" xfId="0" applyBorder="1" applyFont="1"/>
    <xf borderId="8" fillId="8" fontId="1" numFmtId="0" xfId="0" applyBorder="1" applyFont="1"/>
    <xf borderId="9" fillId="0" fontId="1" numFmtId="0" xfId="0" applyBorder="1" applyFont="1"/>
    <xf borderId="0" fillId="0" fontId="1" numFmtId="0" xfId="0" applyAlignment="1" applyFont="1">
      <alignment horizontal="left" vertical="top"/>
    </xf>
    <xf borderId="0" fillId="0" fontId="3" numFmtId="0" xfId="0" applyFont="1"/>
    <xf borderId="5" fillId="8" fontId="1" numFmtId="0" xfId="0" applyBorder="1" applyFont="1"/>
    <xf borderId="1" fillId="9" fontId="1" numFmtId="0" xfId="0" applyBorder="1" applyFill="1" applyFont="1"/>
    <xf borderId="0" fillId="0" fontId="1" numFmtId="0" xfId="0" applyAlignment="1" applyFont="1">
      <alignment horizontal="left"/>
    </xf>
    <xf borderId="6" fillId="7" fontId="1" numFmtId="0" xfId="0" applyBorder="1" applyFont="1"/>
    <xf borderId="0" fillId="0" fontId="1" numFmtId="0" xfId="0" applyFont="1"/>
    <xf borderId="8" fillId="10" fontId="1" numFmtId="0" xfId="0" applyBorder="1" applyFill="1" applyFont="1"/>
    <xf borderId="5" fillId="10" fontId="1" numFmtId="0" xfId="0" applyBorder="1" applyFont="1"/>
    <xf borderId="6" fillId="9" fontId="1" numFmtId="0" xfId="0" applyBorder="1" applyFont="1"/>
    <xf borderId="10" fillId="9" fontId="1" numFmtId="0" xfId="0" applyBorder="1" applyFont="1"/>
    <xf borderId="2" fillId="11" fontId="1" numFmtId="0" xfId="0" applyAlignment="1" applyBorder="1" applyFill="1" applyFont="1">
      <alignment horizontal="center" readingOrder="0" vertical="center"/>
    </xf>
    <xf borderId="2" fillId="11" fontId="1" numFmtId="0" xfId="0" applyAlignment="1" applyBorder="1" applyFont="1">
      <alignment horizontal="center" vertical="center"/>
    </xf>
    <xf borderId="2" fillId="11" fontId="1" numFmtId="0" xfId="0" applyAlignment="1" applyBorder="1" applyFont="1">
      <alignment horizontal="center" readingOrder="0"/>
    </xf>
    <xf borderId="2" fillId="11" fontId="1" numFmtId="0" xfId="0" applyBorder="1" applyFont="1"/>
    <xf borderId="11" fillId="11" fontId="1" numFmtId="0" xfId="0" applyBorder="1" applyFont="1"/>
    <xf borderId="12" fillId="11" fontId="1" numFmtId="0" xfId="0" applyBorder="1" applyFont="1"/>
    <xf borderId="0" fillId="11" fontId="1" numFmtId="0" xfId="0" applyAlignment="1" applyFont="1">
      <alignment horizontal="left" vertical="center"/>
    </xf>
    <xf borderId="13" fillId="11" fontId="1" numFmtId="0" xfId="0" applyBorder="1" applyFont="1"/>
    <xf borderId="2" fillId="11" fontId="1" numFmtId="0" xfId="0" applyAlignment="1" applyBorder="1" applyFont="1">
      <alignment readingOrder="0"/>
    </xf>
    <xf borderId="2" fillId="12" fontId="1" numFmtId="0" xfId="0" applyAlignment="1" applyBorder="1" applyFill="1" applyFont="1">
      <alignment horizontal="center" vertical="bottom"/>
    </xf>
    <xf borderId="2" fillId="12" fontId="1" numFmtId="0" xfId="0" applyAlignment="1" applyBorder="1" applyFont="1">
      <alignment horizontal="center" vertical="bottom"/>
    </xf>
    <xf borderId="2" fillId="11" fontId="1" numFmtId="0" xfId="0" applyAlignment="1" applyBorder="1" applyFont="1">
      <alignment horizontal="center"/>
    </xf>
    <xf borderId="2" fillId="11" fontId="1" numFmtId="0" xfId="0" applyBorder="1" applyFont="1"/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horizontal="center" vertical="center"/>
    </xf>
    <xf borderId="0" fillId="11" fontId="1" numFmtId="0" xfId="0" applyAlignment="1" applyFont="1">
      <alignment horizontal="center" readingOrder="0"/>
    </xf>
    <xf borderId="0" fillId="11" fontId="1" numFmtId="0" xfId="0" applyFont="1"/>
    <xf borderId="14" fillId="11" fontId="1" numFmtId="0" xfId="0" applyBorder="1" applyFont="1"/>
    <xf borderId="15" fillId="11" fontId="1" numFmtId="0" xfId="0" applyAlignment="1" applyBorder="1" applyFont="1">
      <alignment horizontal="left" vertical="center"/>
    </xf>
    <xf borderId="0" fillId="11" fontId="1" numFmtId="0" xfId="0" applyAlignment="1" applyFont="1">
      <alignment readingOrder="0"/>
    </xf>
    <xf borderId="0" fillId="13" fontId="1" numFmtId="0" xfId="0" applyAlignment="1" applyFill="1" applyFont="1">
      <alignment horizontal="center" vertical="bottom"/>
    </xf>
    <xf borderId="0" fillId="13" fontId="1" numFmtId="0" xfId="0" applyAlignment="1" applyFont="1">
      <alignment horizontal="center" vertical="bottom"/>
    </xf>
    <xf borderId="0" fillId="13" fontId="1" numFmtId="0" xfId="0" applyAlignment="1" applyFont="1">
      <alignment vertical="bottom"/>
    </xf>
    <xf borderId="0" fillId="11" fontId="1" numFmtId="0" xfId="0" applyFont="1"/>
    <xf borderId="0" fillId="0" fontId="1" numFmtId="0" xfId="0" applyAlignment="1" applyFont="1">
      <alignment horizontal="left" vertical="center"/>
    </xf>
    <xf borderId="5" fillId="14" fontId="1" numFmtId="0" xfId="0" applyBorder="1" applyFill="1" applyFont="1"/>
    <xf borderId="6" fillId="14" fontId="1" numFmtId="0" xfId="0" applyBorder="1" applyFont="1"/>
    <xf borderId="2" fillId="9" fontId="1" numFmtId="0" xfId="0" applyAlignment="1" applyBorder="1" applyFont="1">
      <alignment horizontal="center" vertical="center"/>
    </xf>
    <xf borderId="2" fillId="9" fontId="1" numFmtId="0" xfId="0" applyAlignment="1" applyBorder="1" applyFont="1">
      <alignment horizontal="center"/>
    </xf>
    <xf borderId="2" fillId="9" fontId="1" numFmtId="0" xfId="0" applyBorder="1" applyFont="1"/>
    <xf borderId="16" fillId="9" fontId="1" numFmtId="0" xfId="0" applyBorder="1" applyFont="1"/>
    <xf borderId="2" fillId="9" fontId="1" numFmtId="0" xfId="0" applyBorder="1" applyFont="1"/>
    <xf borderId="5" fillId="15" fontId="1" numFmtId="0" xfId="0" applyBorder="1" applyFill="1" applyFont="1"/>
    <xf borderId="17" fillId="0" fontId="1" numFmtId="0" xfId="0" applyBorder="1" applyFont="1"/>
    <xf borderId="18" fillId="5" fontId="2" numFmtId="0" xfId="0" applyBorder="1" applyFont="1"/>
    <xf borderId="19" fillId="16" fontId="1" numFmtId="0" xfId="0" applyBorder="1" applyFill="1" applyFont="1"/>
    <xf borderId="1" fillId="0" fontId="1" numFmtId="0" xfId="0" applyAlignment="1" applyBorder="1" applyFont="1">
      <alignment horizontal="left" vertical="center"/>
    </xf>
    <xf borderId="8" fillId="16" fontId="1" numFmtId="0" xfId="0" applyBorder="1" applyFont="1"/>
    <xf borderId="5" fillId="16" fontId="1" numFmtId="0" xfId="0" applyBorder="1" applyFont="1"/>
    <xf borderId="20" fillId="5" fontId="2" numFmtId="0" xfId="0" applyBorder="1" applyFont="1"/>
    <xf borderId="8" fillId="3" fontId="1" numFmtId="0" xfId="0" applyBorder="1" applyFont="1"/>
    <xf borderId="5" fillId="3" fontId="1" numFmtId="0" xfId="0" applyBorder="1" applyFont="1"/>
    <xf borderId="2" fillId="17" fontId="4" numFmtId="0" xfId="0" applyBorder="1" applyFill="1" applyFont="1"/>
    <xf borderId="6" fillId="18" fontId="1" numFmtId="0" xfId="0" applyBorder="1" applyFill="1" applyFont="1"/>
    <xf borderId="5" fillId="18" fontId="1" numFmtId="0" xfId="0" applyBorder="1" applyFont="1"/>
    <xf borderId="3" fillId="18" fontId="5" numFmtId="0" xfId="0" applyBorder="1" applyFont="1"/>
    <xf borderId="2" fillId="10" fontId="1" numFmtId="0" xfId="0" applyAlignment="1" applyBorder="1" applyFont="1">
      <alignment horizontal="center" vertical="center"/>
    </xf>
    <xf borderId="2" fillId="10" fontId="1" numFmtId="0" xfId="0" applyAlignment="1" applyBorder="1" applyFont="1">
      <alignment horizontal="center"/>
    </xf>
    <xf borderId="2" fillId="10" fontId="1" numFmtId="0" xfId="0" applyBorder="1" applyFont="1"/>
    <xf borderId="6" fillId="10" fontId="1" numFmtId="0" xfId="0" applyBorder="1" applyFont="1"/>
    <xf borderId="2" fillId="10" fontId="1" numFmtId="0" xfId="0" applyBorder="1" applyFont="1"/>
    <xf borderId="8" fillId="19" fontId="1" numFmtId="0" xfId="0" applyBorder="1" applyFill="1" applyFont="1"/>
    <xf borderId="5" fillId="19" fontId="1" numFmtId="0" xfId="0" applyBorder="1" applyFont="1"/>
    <xf borderId="2" fillId="20" fontId="1" numFmtId="0" xfId="0" applyAlignment="1" applyBorder="1" applyFill="1" applyFont="1">
      <alignment horizontal="center" vertical="center"/>
    </xf>
    <xf borderId="2" fillId="20" fontId="1" numFmtId="0" xfId="0" applyAlignment="1" applyBorder="1" applyFont="1">
      <alignment horizontal="center"/>
    </xf>
    <xf borderId="2" fillId="20" fontId="1" numFmtId="0" xfId="0" applyBorder="1" applyFont="1"/>
    <xf borderId="1" fillId="20" fontId="1" numFmtId="0" xfId="0" applyBorder="1" applyFont="1"/>
    <xf borderId="2" fillId="20" fontId="1" numFmtId="0" xfId="0" applyBorder="1" applyFont="1"/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2" fillId="21" fontId="1" numFmtId="0" xfId="0" applyAlignment="1" applyBorder="1" applyFill="1" applyFont="1">
      <alignment horizontal="center" vertical="center"/>
    </xf>
    <xf borderId="1" fillId="6" fontId="1" numFmtId="0" xfId="0" applyBorder="1" applyFont="1"/>
    <xf borderId="2" fillId="21" fontId="1" numFmtId="0" xfId="0" applyBorder="1" applyFont="1"/>
    <xf borderId="8" fillId="9" fontId="1" numFmtId="0" xfId="0" applyBorder="1" applyFont="1"/>
    <xf borderId="8" fillId="14" fontId="1" numFmtId="0" xfId="0" applyBorder="1" applyFont="1"/>
    <xf borderId="8" fillId="7" fontId="1" numFmtId="0" xfId="0" applyBorder="1" applyFont="1"/>
    <xf borderId="21" fillId="7" fontId="1" numFmtId="0" xfId="0" applyBorder="1" applyFont="1"/>
    <xf borderId="1" fillId="7" fontId="1" numFmtId="0" xfId="0" applyBorder="1" applyFont="1"/>
    <xf borderId="8" fillId="20" fontId="1" numFmtId="0" xfId="0" applyBorder="1" applyFont="1"/>
    <xf borderId="2" fillId="20" fontId="1" numFmtId="0" xfId="0" applyAlignment="1" applyBorder="1" applyFont="1">
      <alignment horizontal="left" vertical="center"/>
    </xf>
    <xf borderId="6" fillId="3" fontId="1" numFmtId="0" xfId="0" applyBorder="1" applyFont="1"/>
    <xf borderId="1" fillId="10" fontId="1" numFmtId="0" xfId="0" applyBorder="1" applyFont="1"/>
    <xf borderId="3" fillId="7" fontId="5" numFmtId="0" xfId="0" applyBorder="1" applyFont="1"/>
    <xf borderId="2" fillId="7" fontId="1" numFmtId="0" xfId="0" applyAlignment="1" applyBorder="1" applyFont="1">
      <alignment readingOrder="0"/>
    </xf>
    <xf borderId="6" fillId="19" fontId="1" numFmtId="0" xfId="0" applyBorder="1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BDD6EE"/>
          <bgColor rgb="FFBDD6EE"/>
        </patternFill>
      </fill>
      <border/>
    </dxf>
  </dxfs>
  <tableStyles count="4">
    <tableStyle count="3" pivot="0" name="נתוני זיהוי זאבים (2)-style">
      <tableStyleElement dxfId="1" type="headerRow"/>
      <tableStyleElement dxfId="2" type="firstRowStripe"/>
      <tableStyleElement dxfId="3" type="secondRowStripe"/>
    </tableStyle>
    <tableStyle count="3" pivot="0" name="נתוני זיהוי זאבים-style">
      <tableStyleElement dxfId="1" type="headerRow"/>
      <tableStyleElement dxfId="2" type="firstRowStripe"/>
      <tableStyleElement dxfId="3" type="secondRowStripe"/>
    </tableStyle>
    <tableStyle count="3" pivot="0" name="גרפים-style">
      <tableStyleElement dxfId="1" type="headerRow"/>
      <tableStyleElement dxfId="2" type="firstRowStripe"/>
      <tableStyleElement dxfId="3" type="secondRowStripe"/>
    </tableStyle>
    <tableStyle count="3" pivot="0" name="גרפים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wolves social dynamics in numbers</a:t>
            </a:r>
          </a:p>
        </c:rich>
      </c:tx>
      <c:overlay val="0"/>
    </c:title>
    <c:plotArea>
      <c:layout>
        <c:manualLayout>
          <c:xMode val="edge"/>
          <c:yMode val="edge"/>
          <c:x val="0.22192092929913"/>
          <c:y val="0.21164670341750197"/>
          <c:w val="0.550161376004911"/>
          <c:h val="0.7589609882011906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chemeClr val="accent1"/>
              </a:solidFill>
            </c:spPr>
          </c:dPt>
          <c:dLbls>
            <c:dLbl>
              <c:idx val="0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000000"/>
                        </a:solidFill>
                        <a:latin typeface="+mn-lt"/>
                      </a:defRPr>
                    </a:pPr>
                    <a:r>
                      <a:rPr b="0">
                        <a:solidFill>
                          <a:srgbClr val="000000"/>
                        </a:solidFill>
                        <a:latin typeface="+mn-lt"/>
                      </a:rPr>
                      <a:t>[CATEGORY NAME][PERCENTAGE]</a:t>
                    </a:r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000000"/>
                        </a:solidFill>
                        <a:latin typeface="+mn-lt"/>
                      </a:defRPr>
                    </a:pPr>
                    <a:r>
                      <a:rPr b="0">
                        <a:solidFill>
                          <a:srgbClr val="000000"/>
                        </a:solidFill>
                        <a:latin typeface="+mn-lt"/>
                      </a:rPr>
                      <a:t>[CATEGORY NAME][PERCENTAGE]</a:t>
                    </a:r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000000"/>
                        </a:solidFill>
                        <a:latin typeface="+mn-lt"/>
                      </a:defRPr>
                    </a:pPr>
                    <a:r>
                      <a:rPr b="0">
                        <a:solidFill>
                          <a:srgbClr val="000000"/>
                        </a:solidFill>
                        <a:latin typeface="+mn-lt"/>
                      </a:rPr>
                      <a:t>[CATEGORY NAME][PERCENTAGE]</a:t>
                    </a:r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000000"/>
                        </a:solidFill>
                        <a:latin typeface="+mn-lt"/>
                      </a:defRPr>
                    </a:pPr>
                    <a:r>
                      <a:rPr b="0">
                        <a:solidFill>
                          <a:srgbClr val="000000"/>
                        </a:solidFill>
                        <a:latin typeface="+mn-lt"/>
                      </a:rPr>
                      <a:t>[CATEGORY NAME][PERCENTAGE]</a:t>
                    </a:r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'גרפים'!$A$2:$D$2</c:f>
            </c:strRef>
          </c:cat>
          <c:val>
            <c:numRef>
              <c:f>'גרפים'!$A$3:$D$3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#wolves PER POLIGON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'גרפים'!$I$1</c:f>
            </c:strRef>
          </c:tx>
          <c:dPt>
            <c:idx val="0"/>
            <c:spPr>
              <a:solidFill>
                <a:schemeClr val="accent6"/>
              </a:solidFill>
            </c:spPr>
          </c:dPt>
          <c:dPt>
            <c:idx val="1"/>
            <c:spPr>
              <a:solidFill>
                <a:schemeClr val="accent5"/>
              </a:solidFill>
            </c:spPr>
          </c:dPt>
          <c:dPt>
            <c:idx val="2"/>
            <c:spPr>
              <a:solidFill>
                <a:schemeClr val="accent2"/>
              </a:solidFill>
            </c:spPr>
          </c:dPt>
          <c:dPt>
            <c:idx val="3"/>
            <c:spPr>
              <a:solidFill>
                <a:schemeClr val="accent6"/>
              </a:solidFill>
            </c:spPr>
          </c:dPt>
          <c:dPt>
            <c:idx val="4"/>
            <c:spPr>
              <a:solidFill>
                <a:schemeClr val="accent5"/>
              </a:solidFill>
            </c:spPr>
          </c:dPt>
          <c:dPt>
            <c:idx val="5"/>
            <c:spPr>
              <a:solidFill>
                <a:srgbClr val="CC66FF"/>
              </a:solidFill>
            </c:spPr>
          </c:dPt>
          <c:dPt>
            <c:idx val="6"/>
            <c:spPr>
              <a:solidFill>
                <a:srgbClr val="0099FF"/>
              </a:solidFill>
            </c:spPr>
          </c:dPt>
          <c:dPt>
            <c:idx val="7"/>
            <c:spPr>
              <a:solidFill>
                <a:schemeClr val="accent5"/>
              </a:solidFill>
            </c:spPr>
          </c:dPt>
          <c:dPt>
            <c:idx val="8"/>
            <c:spPr>
              <a:solidFill>
                <a:srgbClr val="7030A0"/>
              </a:solidFill>
            </c:spPr>
          </c:dPt>
          <c:dPt>
            <c:idx val="9"/>
            <c:spPr>
              <a:solidFill>
                <a:schemeClr val="accent6"/>
              </a:solidFill>
            </c:spPr>
          </c:dPt>
          <c:dPt>
            <c:idx val="10"/>
            <c:spPr>
              <a:solidFill>
                <a:schemeClr val="accent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'גרפים'!$H$2:$H$12</c:f>
            </c:strRef>
          </c:cat>
          <c:val>
            <c:numRef>
              <c:f>'גרפים'!$I$2:$I$12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</xdr:row>
      <xdr:rowOff>66675</xdr:rowOff>
    </xdr:from>
    <xdr:ext cx="4086225" cy="3124200"/>
    <xdr:graphicFrame>
      <xdr:nvGraphicFramePr>
        <xdr:cNvPr id="1141051775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152400</xdr:colOff>
      <xdr:row>2</xdr:row>
      <xdr:rowOff>47625</xdr:rowOff>
    </xdr:from>
    <xdr:ext cx="3857625" cy="2771775"/>
    <xdr:graphicFrame>
      <xdr:nvGraphicFramePr>
        <xdr:cNvPr id="1713966558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ref="A1:AB105" displayName="Table_1" name="Table_1" id="1">
  <tableColumns count="28">
    <tableColumn name="serial number" id="1"/>
    <tableColumn name="name" id="2"/>
    <tableColumn name="area" id="3"/>
    <tableColumn name="main poligon" id="4"/>
    <tableColumn name="gender" id="5"/>
    <tableColumn name="cams_spotted" id="6"/>
    <tableColumn name="social dynamic" id="7"/>
    <tableColumn name="שיוך" id="8"/>
    <tableColumn name="pack name" id="9"/>
    <tableColumn name="seen with" id="10"/>
    <tableColumn name="notes" id="11"/>
    <tableColumn name="time on camera" id="12"/>
    <tableColumn name="#sights" id="13"/>
    <tableColumn name="#right" id="14"/>
    <tableColumn name="#left" id="15"/>
    <tableColumn name="#front" id="16"/>
    <tableColumn name="#no good" id="17"/>
    <tableColumn name="#pictures" id="18"/>
    <tableColumn name="code" id="19"/>
    <tableColumn name="A1" id="20"/>
    <tableColumn name="A2" id="21"/>
    <tableColumn name="B3" id="22"/>
    <tableColumn name="B4" id="23"/>
    <tableColumn name="B5" id="24"/>
    <tableColumn name="C6" id="25"/>
    <tableColumn name="C7" id="26"/>
    <tableColumn name="D8" id="27"/>
    <tableColumn name="D9" id="28"/>
  </tableColumns>
  <tableStyleInfo name="נתוני זיהוי זאבים (2)-style" showColumnStripes="0" showFirstColumn="1" showLastColumn="1" showRowStripes="1"/>
</table>
</file>

<file path=xl/tables/table2.xml><?xml version="1.0" encoding="utf-8"?>
<table xmlns="http://schemas.openxmlformats.org/spreadsheetml/2006/main" ref="A1:U107" displayName="Table_2" name="Table_2" id="2">
  <tableColumns count="21">
    <tableColumn name="serial number" id="1"/>
    <tableColumn name="name" id="2"/>
    <tableColumn name="area" id="3"/>
    <tableColumn name="main poligon" id="4"/>
    <tableColumn name="gender" id="5"/>
    <tableColumn name="cams_spotted" id="6"/>
    <tableColumn name="social dynamic" id="7"/>
    <tableColumn name="pack name" id="8"/>
    <tableColumn name="seen with" id="9"/>
    <tableColumn name="notes" id="10"/>
    <tableColumn name="time on camera" id="11"/>
    <tableColumn name="תז" id="12"/>
    <tableColumn name="A1" id="13"/>
    <tableColumn name="A2" id="14"/>
    <tableColumn name="B3" id="15"/>
    <tableColumn name="B4" id="16"/>
    <tableColumn name="B5" id="17"/>
    <tableColumn name="C6" id="18"/>
    <tableColumn name="C7" id="19"/>
    <tableColumn name="D8" id="20"/>
    <tableColumn name="D9" id="21"/>
  </tableColumns>
  <tableStyleInfo name="נתוני זיהוי זאבים-style" showColumnStripes="0" showFirstColumn="1" showLastColumn="1" showRowStripes="1"/>
</table>
</file>

<file path=xl/tables/table3.xml><?xml version="1.0" encoding="utf-8"?>
<table xmlns="http://schemas.openxmlformats.org/spreadsheetml/2006/main" ref="H1:I12" displayName="Table_3" name="Table_3" id="3">
  <tableColumns count="2">
    <tableColumn name="poligon" id="1"/>
    <tableColumn name="# wolves" id="2"/>
  </tableColumns>
  <tableStyleInfo name="גרפים-style" showColumnStripes="0" showFirstColumn="1" showLastColumn="1" showRowStripes="1"/>
</table>
</file>

<file path=xl/tables/table4.xml><?xml version="1.0" encoding="utf-8"?>
<table xmlns="http://schemas.openxmlformats.org/spreadsheetml/2006/main" ref="A2:D3" displayName="Table_4" name="Table_4" id="4">
  <tableColumns count="4">
    <tableColumn name="#wolves in packs" id="1"/>
    <tableColumn name="#wolves in groups" id="2"/>
    <tableColumn name="#unknown" id="3"/>
    <tableColumn name="#lone wolves" id="4"/>
  </tableColumns>
  <tableStyleInfo name="גרפים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" width="6.75"/>
    <col customWidth="1" min="3" max="3" width="24.38"/>
    <col customWidth="1" min="4" max="4" width="14.0"/>
    <col customWidth="1" min="5" max="5" width="6.5"/>
    <col customWidth="1" min="6" max="6" width="14.13"/>
    <col customWidth="1" min="7" max="7" width="13.13"/>
    <col customWidth="1" min="8" max="8" width="14.13"/>
    <col customWidth="1" min="9" max="9" width="20.75"/>
    <col customWidth="1" min="10" max="10" width="13.63"/>
    <col customWidth="1" min="11" max="11" width="59.13"/>
    <col customWidth="1" min="12" max="12" width="16.38"/>
    <col customWidth="1" min="13" max="13" width="8.63"/>
    <col customWidth="1" min="14" max="14" width="6.88"/>
    <col customWidth="1" min="15" max="15" width="6.75"/>
    <col customWidth="1" min="16" max="16" width="7.38"/>
    <col customWidth="1" min="17" max="17" width="5.25"/>
    <col customWidth="1" min="18" max="18" width="9.25"/>
    <col customWidth="1" min="19" max="19" width="50.63"/>
    <col customWidth="1" min="20" max="20" width="4.63"/>
    <col customWidth="1" min="21" max="21" width="4.5"/>
    <col customWidth="1" min="22" max="22" width="4.75"/>
    <col customWidth="1" min="28" max="28" width="6.13"/>
  </cols>
  <sheetData>
    <row r="1" ht="14.25" customHeight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ht="14.25" customHeight="1">
      <c r="A2" s="1" t="s">
        <v>28</v>
      </c>
      <c r="B2" s="1" t="s">
        <v>29</v>
      </c>
      <c r="C2" s="1" t="s">
        <v>30</v>
      </c>
      <c r="D2" s="1" t="s">
        <v>30</v>
      </c>
      <c r="E2" s="1" t="s">
        <v>31</v>
      </c>
      <c r="F2" s="1">
        <v>27.0</v>
      </c>
      <c r="G2" s="3" t="s">
        <v>32</v>
      </c>
      <c r="H2" s="5" t="s">
        <v>33</v>
      </c>
      <c r="I2" s="5" t="s">
        <v>33</v>
      </c>
      <c r="J2" s="3"/>
      <c r="K2" s="3" t="s">
        <v>34</v>
      </c>
      <c r="L2" s="3" t="s">
        <v>35</v>
      </c>
      <c r="M2" s="2">
        <v>1.0</v>
      </c>
      <c r="N2" s="2">
        <v>4.0</v>
      </c>
      <c r="O2" s="2">
        <v>0.0</v>
      </c>
      <c r="P2" s="2">
        <v>0.0</v>
      </c>
      <c r="Q2" s="2">
        <v>0.0</v>
      </c>
      <c r="R2" s="2">
        <f>'נתוני זיהוי זאבים (2)'!$N2+'נתוני זיהוי זאבים (2)'!$O2+'נתוני זיהוי זאבים (2)'!$P2+'נתוני זיהוי זאבים (2)'!$Q2</f>
        <v>4</v>
      </c>
      <c r="S2" s="3" t="s">
        <v>36</v>
      </c>
      <c r="T2" s="3" t="s">
        <v>37</v>
      </c>
      <c r="U2" s="3" t="s">
        <v>38</v>
      </c>
      <c r="V2" s="3" t="s">
        <v>39</v>
      </c>
      <c r="W2" s="3" t="s">
        <v>40</v>
      </c>
      <c r="X2" s="3" t="s">
        <v>39</v>
      </c>
      <c r="Y2" s="3" t="s">
        <v>41</v>
      </c>
      <c r="Z2" s="3" t="s">
        <v>42</v>
      </c>
      <c r="AA2" s="3" t="s">
        <v>43</v>
      </c>
      <c r="AB2" s="3" t="s">
        <v>44</v>
      </c>
    </row>
    <row r="3" ht="14.25" customHeight="1">
      <c r="A3" s="1" t="s">
        <v>45</v>
      </c>
      <c r="B3" s="1"/>
      <c r="C3" s="1" t="s">
        <v>30</v>
      </c>
      <c r="D3" s="1" t="s">
        <v>30</v>
      </c>
      <c r="E3" s="1"/>
      <c r="F3" s="1">
        <v>29.0</v>
      </c>
      <c r="G3" s="3" t="s">
        <v>46</v>
      </c>
      <c r="H3" s="6" t="s">
        <v>47</v>
      </c>
      <c r="I3" s="6" t="s">
        <v>47</v>
      </c>
      <c r="J3" s="3"/>
      <c r="K3" s="3"/>
      <c r="L3" s="3" t="s">
        <v>48</v>
      </c>
      <c r="M3" s="2">
        <v>2.0</v>
      </c>
      <c r="N3" s="2">
        <v>3.0</v>
      </c>
      <c r="O3" s="2">
        <v>0.0</v>
      </c>
      <c r="P3" s="2">
        <v>1.0</v>
      </c>
      <c r="Q3" s="2">
        <v>3.0</v>
      </c>
      <c r="R3" s="2">
        <f>'נתוני זיהוי זאבים (2)'!$N3+'נתוני זיהוי זאבים (2)'!$O3+'נתוני זיהוי זאבים (2)'!$P3+'נתוני זיהוי זאבים (2)'!$Q3</f>
        <v>7</v>
      </c>
      <c r="S3" s="3" t="s">
        <v>49</v>
      </c>
      <c r="T3" s="3" t="s">
        <v>50</v>
      </c>
      <c r="U3" s="3" t="s">
        <v>51</v>
      </c>
      <c r="V3" s="3" t="s">
        <v>52</v>
      </c>
      <c r="W3" s="3" t="s">
        <v>53</v>
      </c>
      <c r="X3" s="3" t="s">
        <v>53</v>
      </c>
      <c r="Y3" s="3" t="s">
        <v>51</v>
      </c>
      <c r="Z3" s="3" t="s">
        <v>54</v>
      </c>
      <c r="AA3" s="3" t="s">
        <v>55</v>
      </c>
      <c r="AB3" s="3" t="s">
        <v>44</v>
      </c>
    </row>
    <row r="4" ht="14.25" customHeight="1">
      <c r="A4" s="1" t="s">
        <v>56</v>
      </c>
      <c r="B4" s="1"/>
      <c r="C4" s="1" t="s">
        <v>30</v>
      </c>
      <c r="D4" s="1" t="s">
        <v>30</v>
      </c>
      <c r="E4" s="1" t="s">
        <v>31</v>
      </c>
      <c r="F4" s="1">
        <v>29.0</v>
      </c>
      <c r="G4" s="3" t="s">
        <v>57</v>
      </c>
      <c r="H4" s="3" t="s">
        <v>58</v>
      </c>
      <c r="I4" s="3"/>
      <c r="J4" s="3"/>
      <c r="K4" s="3" t="s">
        <v>59</v>
      </c>
      <c r="L4" s="3" t="s">
        <v>60</v>
      </c>
      <c r="M4" s="2">
        <v>1.0</v>
      </c>
      <c r="N4" s="2">
        <v>5.0</v>
      </c>
      <c r="O4" s="2">
        <v>0.0</v>
      </c>
      <c r="P4" s="2">
        <v>0.0</v>
      </c>
      <c r="Q4" s="2">
        <v>0.0</v>
      </c>
      <c r="R4" s="2">
        <f>'נתוני זיהוי זאבים (2)'!$N4+'נתוני זיהוי זאבים (2)'!$O4+'נתוני זיהוי זאבים (2)'!$P4+'נתוני זיהוי זאבים (2)'!$Q4</f>
        <v>5</v>
      </c>
      <c r="S4" s="3" t="s">
        <v>61</v>
      </c>
      <c r="T4" s="3" t="s">
        <v>62</v>
      </c>
      <c r="U4" s="3" t="s">
        <v>63</v>
      </c>
      <c r="V4" s="3" t="s">
        <v>44</v>
      </c>
      <c r="W4" s="3" t="s">
        <v>64</v>
      </c>
      <c r="X4" s="3" t="s">
        <v>64</v>
      </c>
      <c r="Y4" s="3" t="s">
        <v>65</v>
      </c>
      <c r="Z4" s="3" t="s">
        <v>54</v>
      </c>
      <c r="AA4" s="3" t="s">
        <v>40</v>
      </c>
      <c r="AB4" s="3" t="s">
        <v>40</v>
      </c>
    </row>
    <row r="5" ht="14.25" customHeight="1">
      <c r="A5" s="1" t="s">
        <v>66</v>
      </c>
      <c r="B5" s="1" t="s">
        <v>67</v>
      </c>
      <c r="C5" s="1" t="s">
        <v>30</v>
      </c>
      <c r="D5" s="1" t="s">
        <v>30</v>
      </c>
      <c r="E5" s="1" t="s">
        <v>68</v>
      </c>
      <c r="F5" s="1">
        <v>30.0</v>
      </c>
      <c r="G5" s="3" t="s">
        <v>32</v>
      </c>
      <c r="H5" s="5" t="s">
        <v>33</v>
      </c>
      <c r="I5" s="5" t="s">
        <v>33</v>
      </c>
      <c r="J5" s="3"/>
      <c r="K5" s="3" t="s">
        <v>69</v>
      </c>
      <c r="L5" s="3" t="s">
        <v>70</v>
      </c>
      <c r="M5" s="2">
        <v>1.0</v>
      </c>
      <c r="N5" s="2">
        <v>0.0</v>
      </c>
      <c r="O5" s="2">
        <v>2.0</v>
      </c>
      <c r="P5" s="2">
        <v>2.0</v>
      </c>
      <c r="Q5" s="2">
        <v>0.0</v>
      </c>
      <c r="R5" s="2">
        <f>'נתוני זיהוי זאבים (2)'!$N5+'נתוני זיהוי זאבים (2)'!$O5+'נתוני זיהוי זאבים (2)'!$P5+'נתוני זיהוי זאבים (2)'!$Q5</f>
        <v>4</v>
      </c>
      <c r="S5" s="3" t="s">
        <v>71</v>
      </c>
      <c r="T5" s="3" t="s">
        <v>72</v>
      </c>
      <c r="U5" s="3" t="s">
        <v>73</v>
      </c>
      <c r="V5" s="3" t="s">
        <v>52</v>
      </c>
      <c r="W5" s="3" t="s">
        <v>52</v>
      </c>
      <c r="X5" s="3" t="s">
        <v>52</v>
      </c>
      <c r="Y5" s="3" t="s">
        <v>74</v>
      </c>
      <c r="Z5" s="3" t="s">
        <v>75</v>
      </c>
      <c r="AA5" s="3" t="s">
        <v>76</v>
      </c>
      <c r="AB5" s="3" t="s">
        <v>44</v>
      </c>
    </row>
    <row r="6" ht="14.25" customHeight="1">
      <c r="A6" s="1" t="s">
        <v>77</v>
      </c>
      <c r="B6" s="1" t="s">
        <v>78</v>
      </c>
      <c r="C6" s="1" t="s">
        <v>30</v>
      </c>
      <c r="D6" s="1" t="s">
        <v>30</v>
      </c>
      <c r="E6" s="1" t="s">
        <v>68</v>
      </c>
      <c r="F6" s="1">
        <v>30.0</v>
      </c>
      <c r="G6" s="3" t="s">
        <v>32</v>
      </c>
      <c r="H6" s="5" t="s">
        <v>33</v>
      </c>
      <c r="I6" s="5" t="s">
        <v>33</v>
      </c>
      <c r="J6" s="3" t="s">
        <v>79</v>
      </c>
      <c r="K6" s="3" t="s">
        <v>80</v>
      </c>
      <c r="L6" s="3" t="s">
        <v>81</v>
      </c>
      <c r="M6" s="2">
        <v>2.0</v>
      </c>
      <c r="N6" s="2">
        <v>4.0</v>
      </c>
      <c r="O6" s="2">
        <v>3.0</v>
      </c>
      <c r="P6" s="2">
        <v>0.0</v>
      </c>
      <c r="Q6" s="2">
        <v>1.0</v>
      </c>
      <c r="R6" s="2">
        <f>'נתוני זיהוי זאבים (2)'!$N6+'נתוני זיהוי זאבים (2)'!$O6+'נתוני זיהוי זאבים (2)'!$P6+'נתוני זיהוי זאבים (2)'!$Q6</f>
        <v>8</v>
      </c>
      <c r="S6" s="3" t="s">
        <v>82</v>
      </c>
      <c r="T6" s="3" t="s">
        <v>83</v>
      </c>
      <c r="U6" s="3" t="s">
        <v>84</v>
      </c>
      <c r="V6" s="3" t="s">
        <v>85</v>
      </c>
      <c r="W6" s="3" t="s">
        <v>64</v>
      </c>
      <c r="X6" s="3" t="s">
        <v>64</v>
      </c>
      <c r="Y6" s="3" t="s">
        <v>86</v>
      </c>
      <c r="Z6" s="3" t="s">
        <v>87</v>
      </c>
      <c r="AA6" s="3" t="s">
        <v>88</v>
      </c>
      <c r="AB6" s="3" t="s">
        <v>85</v>
      </c>
    </row>
    <row r="7" ht="14.25" customHeight="1">
      <c r="A7" s="1" t="s">
        <v>89</v>
      </c>
      <c r="B7" s="1"/>
      <c r="C7" s="1" t="s">
        <v>30</v>
      </c>
      <c r="D7" s="1" t="s">
        <v>30</v>
      </c>
      <c r="E7" s="1" t="s">
        <v>68</v>
      </c>
      <c r="F7" s="1" t="s">
        <v>90</v>
      </c>
      <c r="G7" s="3" t="s">
        <v>57</v>
      </c>
      <c r="H7" s="3" t="s">
        <v>58</v>
      </c>
      <c r="I7" s="3"/>
      <c r="J7" s="3"/>
      <c r="K7" s="3"/>
      <c r="L7" s="3" t="s">
        <v>91</v>
      </c>
      <c r="M7" s="2">
        <v>2.0</v>
      </c>
      <c r="N7" s="2">
        <v>2.0</v>
      </c>
      <c r="O7" s="2">
        <v>2.0</v>
      </c>
      <c r="P7" s="2">
        <v>1.0</v>
      </c>
      <c r="Q7" s="2">
        <v>0.0</v>
      </c>
      <c r="R7" s="2">
        <f>'נתוני זיהוי זאבים (2)'!$N7+'נתוני זיהוי זאבים (2)'!$O7+'נתוני זיהוי זאבים (2)'!$P7+'נתוני זיהוי זאבים (2)'!$Q7</f>
        <v>5</v>
      </c>
      <c r="S7" s="3" t="s">
        <v>92</v>
      </c>
      <c r="T7" s="3" t="s">
        <v>93</v>
      </c>
      <c r="U7" s="3" t="s">
        <v>94</v>
      </c>
      <c r="V7" s="3" t="s">
        <v>85</v>
      </c>
      <c r="W7" s="3" t="s">
        <v>64</v>
      </c>
      <c r="X7" s="3" t="s">
        <v>64</v>
      </c>
      <c r="Y7" s="3" t="s">
        <v>95</v>
      </c>
      <c r="Z7" s="3" t="s">
        <v>44</v>
      </c>
      <c r="AA7" s="3" t="s">
        <v>96</v>
      </c>
      <c r="AB7" s="3" t="s">
        <v>44</v>
      </c>
    </row>
    <row r="8" ht="14.25" customHeight="1">
      <c r="A8" s="1" t="s">
        <v>97</v>
      </c>
      <c r="B8" s="1"/>
      <c r="C8" s="1" t="s">
        <v>30</v>
      </c>
      <c r="D8" s="1" t="s">
        <v>30</v>
      </c>
      <c r="E8" s="1" t="s">
        <v>68</v>
      </c>
      <c r="F8" s="1">
        <v>30.0</v>
      </c>
      <c r="G8" s="3" t="s">
        <v>32</v>
      </c>
      <c r="H8" s="5" t="s">
        <v>33</v>
      </c>
      <c r="I8" s="5" t="s">
        <v>33</v>
      </c>
      <c r="J8" s="3" t="s">
        <v>98</v>
      </c>
      <c r="K8" s="3"/>
      <c r="L8" s="3" t="s">
        <v>99</v>
      </c>
      <c r="M8" s="2">
        <v>1.0</v>
      </c>
      <c r="N8" s="2">
        <v>2.0</v>
      </c>
      <c r="O8" s="2">
        <v>0.0</v>
      </c>
      <c r="P8" s="2">
        <v>0.0</v>
      </c>
      <c r="Q8" s="2">
        <v>0.0</v>
      </c>
      <c r="R8" s="2">
        <f>'נתוני זיהוי זאבים (2)'!$N8+'נתוני זיהוי זאבים (2)'!$O8+'נתוני זיהוי זאבים (2)'!$P8+'נתוני זיהוי זאבים (2)'!$Q8</f>
        <v>2</v>
      </c>
      <c r="S8" s="3" t="s">
        <v>100</v>
      </c>
      <c r="T8" s="3" t="s">
        <v>101</v>
      </c>
      <c r="U8" s="3" t="s">
        <v>102</v>
      </c>
      <c r="V8" s="3" t="s">
        <v>42</v>
      </c>
      <c r="W8" s="3" t="s">
        <v>39</v>
      </c>
      <c r="X8" s="3" t="s">
        <v>40</v>
      </c>
      <c r="Y8" s="3" t="s">
        <v>103</v>
      </c>
      <c r="Z8" s="3" t="s">
        <v>85</v>
      </c>
      <c r="AA8" s="3" t="s">
        <v>104</v>
      </c>
      <c r="AB8" s="3" t="s">
        <v>44</v>
      </c>
    </row>
    <row r="9" ht="14.25" customHeight="1">
      <c r="A9" s="1" t="s">
        <v>105</v>
      </c>
      <c r="B9" s="1"/>
      <c r="C9" s="1" t="s">
        <v>30</v>
      </c>
      <c r="D9" s="1" t="s">
        <v>30</v>
      </c>
      <c r="E9" s="1"/>
      <c r="F9" s="2">
        <v>30.0</v>
      </c>
      <c r="G9" s="3" t="s">
        <v>32</v>
      </c>
      <c r="H9" s="5" t="s">
        <v>33</v>
      </c>
      <c r="I9" s="5" t="s">
        <v>33</v>
      </c>
      <c r="J9" s="3" t="s">
        <v>106</v>
      </c>
      <c r="K9" s="3" t="s">
        <v>107</v>
      </c>
      <c r="L9" s="3" t="s">
        <v>99</v>
      </c>
      <c r="M9" s="2">
        <v>1.0</v>
      </c>
      <c r="N9" s="2">
        <v>1.0</v>
      </c>
      <c r="O9" s="2">
        <v>0.0</v>
      </c>
      <c r="P9" s="2">
        <v>0.0</v>
      </c>
      <c r="Q9" s="2">
        <v>0.0</v>
      </c>
      <c r="R9" s="2">
        <f>'נתוני זיהוי זאבים (2)'!$N9+'נתוני זיהוי זאבים (2)'!$O9+'נתוני זיהוי זאבים (2)'!$P9+'נתוני זיהוי זאבים (2)'!$Q9</f>
        <v>1</v>
      </c>
      <c r="S9" s="3" t="s">
        <v>108</v>
      </c>
      <c r="T9" s="3" t="s">
        <v>37</v>
      </c>
      <c r="U9" s="3" t="s">
        <v>109</v>
      </c>
      <c r="V9" s="3" t="s">
        <v>44</v>
      </c>
      <c r="W9" s="3" t="s">
        <v>40</v>
      </c>
      <c r="X9" s="3" t="s">
        <v>40</v>
      </c>
      <c r="Y9" s="3" t="s">
        <v>110</v>
      </c>
      <c r="Z9" s="3" t="s">
        <v>111</v>
      </c>
      <c r="AA9" s="3" t="s">
        <v>112</v>
      </c>
      <c r="AB9" s="3" t="s">
        <v>63</v>
      </c>
    </row>
    <row r="10" ht="14.25" customHeight="1">
      <c r="A10" s="1" t="s">
        <v>113</v>
      </c>
      <c r="B10" s="1"/>
      <c r="C10" s="1" t="s">
        <v>30</v>
      </c>
      <c r="D10" s="1" t="s">
        <v>30</v>
      </c>
      <c r="E10" s="1" t="s">
        <v>31</v>
      </c>
      <c r="F10" s="2">
        <v>30.0</v>
      </c>
      <c r="G10" s="3" t="s">
        <v>32</v>
      </c>
      <c r="H10" s="5" t="s">
        <v>33</v>
      </c>
      <c r="I10" s="5" t="s">
        <v>33</v>
      </c>
      <c r="J10" s="3"/>
      <c r="K10" s="3" t="s">
        <v>114</v>
      </c>
      <c r="L10" s="3" t="s">
        <v>115</v>
      </c>
      <c r="M10" s="2">
        <v>1.0</v>
      </c>
      <c r="N10" s="2">
        <v>3.0</v>
      </c>
      <c r="O10" s="2">
        <v>0.0</v>
      </c>
      <c r="P10" s="2">
        <v>0.0</v>
      </c>
      <c r="Q10" s="2">
        <v>0.0</v>
      </c>
      <c r="R10" s="2">
        <f>'נתוני זיהוי זאבים (2)'!$N10+'נתוני זיהוי זאבים (2)'!$O10+'נתוני זיהוי זאבים (2)'!$P10+'נתוני זיהוי זאבים (2)'!$Q10</f>
        <v>3</v>
      </c>
      <c r="S10" s="3" t="s">
        <v>116</v>
      </c>
      <c r="T10" s="3" t="s">
        <v>117</v>
      </c>
      <c r="U10" s="3" t="s">
        <v>118</v>
      </c>
      <c r="V10" s="3" t="s">
        <v>44</v>
      </c>
      <c r="W10" s="3" t="s">
        <v>64</v>
      </c>
      <c r="X10" s="3" t="s">
        <v>64</v>
      </c>
      <c r="Y10" s="3" t="s">
        <v>103</v>
      </c>
      <c r="Z10" s="3" t="s">
        <v>85</v>
      </c>
      <c r="AA10" s="3" t="s">
        <v>119</v>
      </c>
      <c r="AB10" s="3" t="s">
        <v>63</v>
      </c>
    </row>
    <row r="11" ht="14.25" customHeight="1">
      <c r="A11" s="1" t="s">
        <v>120</v>
      </c>
      <c r="B11" s="1"/>
      <c r="C11" s="1" t="s">
        <v>30</v>
      </c>
      <c r="D11" s="1" t="s">
        <v>30</v>
      </c>
      <c r="E11" s="1"/>
      <c r="F11" s="2">
        <v>30.0</v>
      </c>
      <c r="G11" s="3" t="s">
        <v>57</v>
      </c>
      <c r="H11" s="3" t="s">
        <v>58</v>
      </c>
      <c r="I11" s="3"/>
      <c r="J11" s="3"/>
      <c r="K11" s="3"/>
      <c r="L11" s="3" t="s">
        <v>121</v>
      </c>
      <c r="M11" s="2">
        <v>1.0</v>
      </c>
      <c r="N11" s="2">
        <v>1.0</v>
      </c>
      <c r="O11" s="2">
        <v>0.0</v>
      </c>
      <c r="P11" s="2">
        <v>2.0</v>
      </c>
      <c r="Q11" s="2">
        <v>0.0</v>
      </c>
      <c r="R11" s="2">
        <f>'נתוני זיהוי זאבים (2)'!$N11+'נתוני זיהוי זאבים (2)'!$O11+'נתוני זיהוי זאבים (2)'!$P11+'נתוני זיהוי זאבים (2)'!$Q11</f>
        <v>3</v>
      </c>
      <c r="S11" s="3" t="s">
        <v>122</v>
      </c>
      <c r="T11" s="3" t="s">
        <v>123</v>
      </c>
      <c r="U11" s="3" t="s">
        <v>124</v>
      </c>
      <c r="V11" s="3" t="s">
        <v>52</v>
      </c>
      <c r="W11" s="3" t="s">
        <v>125</v>
      </c>
      <c r="X11" s="3" t="s">
        <v>125</v>
      </c>
      <c r="Y11" s="3" t="s">
        <v>95</v>
      </c>
      <c r="Z11" s="3" t="s">
        <v>87</v>
      </c>
      <c r="AA11" s="3" t="s">
        <v>126</v>
      </c>
      <c r="AB11" s="3" t="s">
        <v>40</v>
      </c>
    </row>
    <row r="12" ht="14.25" hidden="1" customHeight="1">
      <c r="A12" s="7" t="s">
        <v>127</v>
      </c>
      <c r="B12" s="7"/>
      <c r="C12" s="7" t="s">
        <v>128</v>
      </c>
      <c r="D12" s="7" t="s">
        <v>30</v>
      </c>
      <c r="E12" s="7"/>
      <c r="F12" s="8" t="s">
        <v>129</v>
      </c>
      <c r="G12" s="9" t="s">
        <v>57</v>
      </c>
      <c r="H12" s="9"/>
      <c r="I12" s="9"/>
      <c r="J12" s="9"/>
      <c r="K12" s="9"/>
      <c r="L12" s="9" t="s">
        <v>130</v>
      </c>
      <c r="M12" s="8"/>
      <c r="N12" s="8"/>
      <c r="O12" s="8"/>
      <c r="P12" s="8"/>
      <c r="Q12" s="8"/>
      <c r="R12" s="8">
        <f>'נתוני זיהוי זאבים (2)'!$N12+'נתוני זיהוי זאבים (2)'!$O12+'נתוני זיהוי זאבים (2)'!$P12+'נתוני זיהוי זאבים (2)'!$Q12</f>
        <v>0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10"/>
      <c r="AD12" s="10"/>
      <c r="AE12" s="10"/>
      <c r="AF12" s="10"/>
    </row>
    <row r="13" ht="14.25" customHeight="1">
      <c r="A13" s="1" t="s">
        <v>131</v>
      </c>
      <c r="B13" s="1"/>
      <c r="C13" s="2" t="s">
        <v>132</v>
      </c>
      <c r="D13" s="2" t="s">
        <v>132</v>
      </c>
      <c r="E13" s="1"/>
      <c r="F13" s="2">
        <v>25.0</v>
      </c>
      <c r="G13" s="3" t="s">
        <v>133</v>
      </c>
      <c r="H13" s="11" t="s">
        <v>133</v>
      </c>
      <c r="I13" s="11" t="s">
        <v>133</v>
      </c>
      <c r="J13" s="3"/>
      <c r="K13" s="3" t="s">
        <v>134</v>
      </c>
      <c r="L13" s="3" t="s">
        <v>135</v>
      </c>
      <c r="M13" s="2">
        <v>1.0</v>
      </c>
      <c r="N13" s="2">
        <v>3.0</v>
      </c>
      <c r="O13" s="2">
        <v>0.0</v>
      </c>
      <c r="P13" s="2">
        <v>0.0</v>
      </c>
      <c r="Q13" s="2">
        <v>0.0</v>
      </c>
      <c r="R13" s="2">
        <f>'נתוני זיהוי זאבים (2)'!$N13+'נתוני זיהוי זאבים (2)'!$O13+'נתוני זיהוי זאבים (2)'!$P13+'נתוני זיהוי זאבים (2)'!$Q13</f>
        <v>3</v>
      </c>
      <c r="S13" s="3" t="s">
        <v>136</v>
      </c>
      <c r="T13" s="3" t="s">
        <v>137</v>
      </c>
      <c r="U13" s="3" t="s">
        <v>138</v>
      </c>
      <c r="V13" s="3" t="s">
        <v>39</v>
      </c>
      <c r="W13" s="3" t="s">
        <v>39</v>
      </c>
      <c r="X13" s="3" t="s">
        <v>39</v>
      </c>
      <c r="Y13" s="3" t="s">
        <v>40</v>
      </c>
      <c r="Z13" s="3" t="s">
        <v>42</v>
      </c>
      <c r="AA13" s="3" t="s">
        <v>139</v>
      </c>
      <c r="AB13" s="3" t="s">
        <v>42</v>
      </c>
    </row>
    <row r="14" ht="14.25" customHeight="1">
      <c r="A14" s="1" t="s">
        <v>140</v>
      </c>
      <c r="B14" s="1"/>
      <c r="C14" s="2" t="s">
        <v>141</v>
      </c>
      <c r="D14" s="2" t="s">
        <v>132</v>
      </c>
      <c r="E14" s="1"/>
      <c r="F14" s="2" t="s">
        <v>142</v>
      </c>
      <c r="G14" s="3" t="s">
        <v>133</v>
      </c>
      <c r="H14" s="12" t="s">
        <v>133</v>
      </c>
      <c r="I14" s="12" t="s">
        <v>133</v>
      </c>
      <c r="J14" s="3"/>
      <c r="K14" s="3"/>
      <c r="L14" s="3" t="s">
        <v>143</v>
      </c>
      <c r="M14" s="2">
        <v>2.0</v>
      </c>
      <c r="N14" s="2">
        <v>0.0</v>
      </c>
      <c r="O14" s="2">
        <v>5.0</v>
      </c>
      <c r="P14" s="2">
        <v>0.0</v>
      </c>
      <c r="Q14" s="2">
        <v>0.0</v>
      </c>
      <c r="R14" s="2">
        <f>'נתוני זיהוי זאבים (2)'!$N14+'נתוני זיהוי זאבים (2)'!$O14+'נתוני זיהוי זאבים (2)'!$P14+'נתוני זיהוי זאבים (2)'!$Q14</f>
        <v>5</v>
      </c>
      <c r="S14" s="3" t="s">
        <v>144</v>
      </c>
      <c r="T14" s="3" t="s">
        <v>145</v>
      </c>
      <c r="U14" s="3" t="s">
        <v>51</v>
      </c>
      <c r="V14" s="3" t="s">
        <v>52</v>
      </c>
      <c r="W14" s="3" t="s">
        <v>146</v>
      </c>
      <c r="X14" s="3" t="s">
        <v>147</v>
      </c>
      <c r="Y14" s="3" t="s">
        <v>148</v>
      </c>
      <c r="Z14" s="3" t="s">
        <v>75</v>
      </c>
      <c r="AA14" s="3" t="s">
        <v>55</v>
      </c>
      <c r="AB14" s="3" t="s">
        <v>63</v>
      </c>
    </row>
    <row r="15" ht="15.0" customHeight="1">
      <c r="A15" s="2" t="s">
        <v>149</v>
      </c>
      <c r="B15" s="3"/>
      <c r="C15" s="2" t="s">
        <v>150</v>
      </c>
      <c r="D15" s="2" t="s">
        <v>132</v>
      </c>
      <c r="E15" s="3"/>
      <c r="F15" s="2">
        <v>24.0</v>
      </c>
      <c r="G15" s="3" t="s">
        <v>133</v>
      </c>
      <c r="H15" s="12" t="s">
        <v>133</v>
      </c>
      <c r="I15" s="12" t="s">
        <v>133</v>
      </c>
      <c r="J15" s="3"/>
      <c r="K15" s="3"/>
      <c r="L15" s="3" t="s">
        <v>151</v>
      </c>
      <c r="M15" s="2">
        <v>1.0</v>
      </c>
      <c r="N15" s="2">
        <v>0.0</v>
      </c>
      <c r="O15" s="2">
        <v>5.0</v>
      </c>
      <c r="P15" s="2">
        <v>0.0</v>
      </c>
      <c r="Q15" s="2">
        <v>0.0</v>
      </c>
      <c r="R15" s="2">
        <f>'נתוני זיהוי זאבים (2)'!$N15+'נתוני זיהוי זאבים (2)'!$O15+'נתוני זיהוי זאבים (2)'!$P15+'נתוני זיהוי זאבים (2)'!$Q15</f>
        <v>5</v>
      </c>
      <c r="S15" s="3" t="s">
        <v>152</v>
      </c>
      <c r="T15" s="3" t="s">
        <v>153</v>
      </c>
      <c r="U15" s="3" t="s">
        <v>154</v>
      </c>
      <c r="V15" s="3" t="s">
        <v>39</v>
      </c>
      <c r="W15" s="3" t="s">
        <v>40</v>
      </c>
      <c r="X15" s="3" t="s">
        <v>155</v>
      </c>
      <c r="Y15" s="3" t="s">
        <v>148</v>
      </c>
      <c r="Z15" s="3" t="s">
        <v>40</v>
      </c>
      <c r="AA15" s="3" t="s">
        <v>63</v>
      </c>
      <c r="AB15" s="3" t="s">
        <v>44</v>
      </c>
    </row>
    <row r="16" ht="14.25" customHeight="1">
      <c r="A16" s="1" t="s">
        <v>156</v>
      </c>
      <c r="B16" s="1"/>
      <c r="C16" s="2" t="s">
        <v>132</v>
      </c>
      <c r="D16" s="2" t="s">
        <v>132</v>
      </c>
      <c r="E16" s="1"/>
      <c r="F16" s="2">
        <v>22.0</v>
      </c>
      <c r="G16" s="3" t="s">
        <v>133</v>
      </c>
      <c r="H16" s="11" t="s">
        <v>133</v>
      </c>
      <c r="I16" s="11" t="s">
        <v>133</v>
      </c>
      <c r="J16" s="3"/>
      <c r="K16" s="3"/>
      <c r="L16" s="3" t="s">
        <v>157</v>
      </c>
      <c r="M16" s="2">
        <v>1.0</v>
      </c>
      <c r="N16" s="2">
        <v>2.0</v>
      </c>
      <c r="O16" s="2">
        <v>0.0</v>
      </c>
      <c r="P16" s="2">
        <v>0.0</v>
      </c>
      <c r="Q16" s="2">
        <v>1.0</v>
      </c>
      <c r="R16" s="2">
        <f>'נתוני זיהוי זאבים (2)'!$N16+'נתוני זיהוי זאבים (2)'!$O16+'נתוני זיהוי זאבים (2)'!$P16+'נתוני זיהוי זאבים (2)'!$Q16</f>
        <v>3</v>
      </c>
      <c r="S16" s="3" t="s">
        <v>158</v>
      </c>
      <c r="T16" s="3" t="s">
        <v>153</v>
      </c>
      <c r="U16" s="3" t="s">
        <v>41</v>
      </c>
      <c r="V16" s="3" t="s">
        <v>44</v>
      </c>
      <c r="W16" s="3" t="s">
        <v>64</v>
      </c>
      <c r="X16" s="3" t="s">
        <v>64</v>
      </c>
      <c r="Y16" s="3" t="s">
        <v>159</v>
      </c>
      <c r="Z16" s="3" t="s">
        <v>85</v>
      </c>
      <c r="AA16" s="3" t="s">
        <v>85</v>
      </c>
      <c r="AB16" s="3" t="s">
        <v>39</v>
      </c>
    </row>
    <row r="17" ht="14.25" customHeight="1">
      <c r="A17" s="1" t="s">
        <v>160</v>
      </c>
      <c r="B17" s="1"/>
      <c r="C17" s="1" t="s">
        <v>128</v>
      </c>
      <c r="D17" s="2" t="s">
        <v>132</v>
      </c>
      <c r="E17" s="1" t="s">
        <v>68</v>
      </c>
      <c r="F17" s="2" t="s">
        <v>161</v>
      </c>
      <c r="G17" s="3" t="s">
        <v>133</v>
      </c>
      <c r="H17" s="11" t="s">
        <v>133</v>
      </c>
      <c r="I17" s="11" t="s">
        <v>133</v>
      </c>
      <c r="J17" s="3"/>
      <c r="K17" s="3" t="s">
        <v>162</v>
      </c>
      <c r="L17" s="3" t="s">
        <v>163</v>
      </c>
      <c r="M17" s="2" t="s">
        <v>164</v>
      </c>
      <c r="N17" s="2">
        <v>2.0</v>
      </c>
      <c r="O17" s="2">
        <v>5.0</v>
      </c>
      <c r="P17" s="2">
        <v>0.0</v>
      </c>
      <c r="Q17" s="2">
        <v>0.0</v>
      </c>
      <c r="R17" s="2">
        <f>'נתוני זיהוי זאבים (2)'!$N17+'נתוני זיהוי זאבים (2)'!$O17+'נתוני זיהוי זאבים (2)'!$P17+'נתוני זיהוי זאבים (2)'!$Q17</f>
        <v>7</v>
      </c>
      <c r="S17" s="3" t="s">
        <v>165</v>
      </c>
      <c r="T17" s="3" t="s">
        <v>166</v>
      </c>
      <c r="U17" s="3" t="s">
        <v>94</v>
      </c>
      <c r="V17" s="3" t="s">
        <v>42</v>
      </c>
      <c r="W17" s="3" t="s">
        <v>75</v>
      </c>
      <c r="X17" s="3" t="s">
        <v>44</v>
      </c>
      <c r="Y17" s="3" t="s">
        <v>167</v>
      </c>
      <c r="Z17" s="3" t="s">
        <v>63</v>
      </c>
      <c r="AA17" s="3" t="s">
        <v>55</v>
      </c>
      <c r="AB17" s="3" t="s">
        <v>44</v>
      </c>
    </row>
    <row r="18" ht="14.25" customHeight="1">
      <c r="A18" s="1" t="s">
        <v>168</v>
      </c>
      <c r="B18" s="1"/>
      <c r="C18" s="2" t="s">
        <v>169</v>
      </c>
      <c r="D18" s="2" t="s">
        <v>169</v>
      </c>
      <c r="E18" s="1"/>
      <c r="F18" s="2">
        <v>2.0</v>
      </c>
      <c r="G18" s="3" t="s">
        <v>133</v>
      </c>
      <c r="H18" s="11" t="s">
        <v>133</v>
      </c>
      <c r="I18" s="11" t="s">
        <v>133</v>
      </c>
      <c r="J18" s="3"/>
      <c r="K18" s="3"/>
      <c r="L18" s="3" t="s">
        <v>170</v>
      </c>
      <c r="M18" s="2">
        <v>1.0</v>
      </c>
      <c r="N18" s="2">
        <v>0.0</v>
      </c>
      <c r="O18" s="2">
        <v>3.0</v>
      </c>
      <c r="P18" s="2">
        <v>0.0</v>
      </c>
      <c r="Q18" s="2">
        <v>1.0</v>
      </c>
      <c r="R18" s="2">
        <f>'נתוני זיהוי זאבים (2)'!$N18+'נתוני זיהוי זאבים (2)'!$O18+'נתוני זיהוי זאבים (2)'!$P18+'נתוני זיהוי זאבים (2)'!$Q18</f>
        <v>4</v>
      </c>
      <c r="S18" s="3" t="s">
        <v>171</v>
      </c>
      <c r="T18" s="3" t="s">
        <v>166</v>
      </c>
      <c r="U18" s="3" t="s">
        <v>51</v>
      </c>
      <c r="V18" s="3" t="s">
        <v>39</v>
      </c>
      <c r="W18" s="3" t="s">
        <v>39</v>
      </c>
      <c r="X18" s="3" t="s">
        <v>39</v>
      </c>
      <c r="Y18" s="3" t="s">
        <v>166</v>
      </c>
      <c r="Z18" s="3" t="s">
        <v>54</v>
      </c>
      <c r="AA18" s="3" t="s">
        <v>55</v>
      </c>
      <c r="AB18" s="3" t="s">
        <v>44</v>
      </c>
    </row>
    <row r="19" ht="14.25" customHeight="1">
      <c r="A19" s="1" t="s">
        <v>172</v>
      </c>
      <c r="B19" s="1"/>
      <c r="C19" s="2" t="s">
        <v>169</v>
      </c>
      <c r="D19" s="2" t="s">
        <v>169</v>
      </c>
      <c r="E19" s="1" t="s">
        <v>68</v>
      </c>
      <c r="F19" s="2">
        <v>5.0</v>
      </c>
      <c r="G19" s="3" t="s">
        <v>133</v>
      </c>
      <c r="H19" s="12" t="s">
        <v>133</v>
      </c>
      <c r="I19" s="12" t="s">
        <v>133</v>
      </c>
      <c r="J19" s="3"/>
      <c r="K19" s="3"/>
      <c r="L19" s="3" t="s">
        <v>173</v>
      </c>
      <c r="M19" s="2">
        <v>1.0</v>
      </c>
      <c r="N19" s="2">
        <v>3.0</v>
      </c>
      <c r="O19" s="2">
        <v>0.0</v>
      </c>
      <c r="P19" s="2">
        <v>0.0</v>
      </c>
      <c r="Q19" s="2">
        <v>2.0</v>
      </c>
      <c r="R19" s="2">
        <f>'נתוני זיהוי זאבים (2)'!$N19+'נתוני זיהוי זאבים (2)'!$O19+'נתוני זיהוי זאבים (2)'!$P19+'נתוני זיהוי זאבים (2)'!$Q19</f>
        <v>5</v>
      </c>
      <c r="S19" s="3" t="s">
        <v>174</v>
      </c>
      <c r="T19" s="3" t="s">
        <v>175</v>
      </c>
      <c r="U19" s="3" t="s">
        <v>94</v>
      </c>
      <c r="V19" s="3" t="s">
        <v>39</v>
      </c>
      <c r="W19" s="3" t="s">
        <v>39</v>
      </c>
      <c r="X19" s="3" t="s">
        <v>39</v>
      </c>
      <c r="Y19" s="3" t="s">
        <v>176</v>
      </c>
      <c r="Z19" s="3" t="s">
        <v>39</v>
      </c>
      <c r="AA19" s="3" t="s">
        <v>63</v>
      </c>
      <c r="AB19" s="3" t="s">
        <v>44</v>
      </c>
    </row>
    <row r="20" ht="14.25" customHeight="1">
      <c r="A20" s="1" t="s">
        <v>177</v>
      </c>
      <c r="B20" s="1"/>
      <c r="C20" s="2" t="s">
        <v>178</v>
      </c>
      <c r="D20" s="2" t="s">
        <v>169</v>
      </c>
      <c r="E20" s="1" t="s">
        <v>31</v>
      </c>
      <c r="F20" s="2" t="s">
        <v>179</v>
      </c>
      <c r="G20" s="3" t="s">
        <v>133</v>
      </c>
      <c r="H20" s="11" t="s">
        <v>133</v>
      </c>
      <c r="I20" s="11" t="s">
        <v>133</v>
      </c>
      <c r="J20" s="3"/>
      <c r="K20" s="3" t="s">
        <v>180</v>
      </c>
      <c r="L20" s="3" t="s">
        <v>181</v>
      </c>
      <c r="M20" s="2" t="s">
        <v>182</v>
      </c>
      <c r="N20" s="2">
        <v>1.0</v>
      </c>
      <c r="O20" s="2">
        <v>4.0</v>
      </c>
      <c r="P20" s="2">
        <v>2.0</v>
      </c>
      <c r="Q20" s="2">
        <v>0.0</v>
      </c>
      <c r="R20" s="2">
        <f>'נתוני זיהוי זאבים (2)'!$N20+'נתוני זיהוי זאבים (2)'!$O20+'נתוני זיהוי זאבים (2)'!$P20+'נתוני זיהוי זאבים (2)'!$Q20</f>
        <v>7</v>
      </c>
      <c r="S20" s="3" t="s">
        <v>183</v>
      </c>
      <c r="T20" s="3" t="s">
        <v>184</v>
      </c>
      <c r="U20" s="3" t="s">
        <v>185</v>
      </c>
      <c r="V20" s="3" t="s">
        <v>44</v>
      </c>
      <c r="W20" s="3" t="s">
        <v>64</v>
      </c>
      <c r="X20" s="3" t="s">
        <v>64</v>
      </c>
      <c r="Y20" s="3" t="s">
        <v>186</v>
      </c>
      <c r="Z20" s="3" t="s">
        <v>39</v>
      </c>
      <c r="AA20" s="3" t="s">
        <v>55</v>
      </c>
      <c r="AB20" s="3" t="s">
        <v>44</v>
      </c>
    </row>
    <row r="21" ht="14.25" customHeight="1">
      <c r="A21" s="1" t="s">
        <v>187</v>
      </c>
      <c r="B21" s="1"/>
      <c r="C21" s="2" t="s">
        <v>188</v>
      </c>
      <c r="D21" s="2" t="s">
        <v>188</v>
      </c>
      <c r="E21" s="1" t="s">
        <v>68</v>
      </c>
      <c r="F21" s="2">
        <v>11.0</v>
      </c>
      <c r="G21" s="3" t="s">
        <v>133</v>
      </c>
      <c r="H21" s="12" t="s">
        <v>133</v>
      </c>
      <c r="I21" s="12" t="s">
        <v>133</v>
      </c>
      <c r="J21" s="3"/>
      <c r="K21" s="3"/>
      <c r="L21" s="3" t="s">
        <v>189</v>
      </c>
      <c r="M21" s="2">
        <v>1.0</v>
      </c>
      <c r="N21" s="2">
        <v>0.0</v>
      </c>
      <c r="O21" s="2">
        <v>4.0</v>
      </c>
      <c r="P21" s="2">
        <v>0.0</v>
      </c>
      <c r="Q21" s="2">
        <v>0.0</v>
      </c>
      <c r="R21" s="2">
        <f>'נתוני זיהוי זאבים (2)'!$N21+'נתוני זיהוי זאבים (2)'!$O21+'נתוני זיהוי זאבים (2)'!$P21+'נתוני זיהוי זאבים (2)'!$Q21</f>
        <v>4</v>
      </c>
      <c r="S21" s="3" t="s">
        <v>190</v>
      </c>
      <c r="T21" s="3" t="s">
        <v>191</v>
      </c>
      <c r="U21" s="3" t="s">
        <v>192</v>
      </c>
      <c r="V21" s="3" t="s">
        <v>52</v>
      </c>
      <c r="W21" s="3" t="s">
        <v>193</v>
      </c>
      <c r="X21" s="3" t="s">
        <v>193</v>
      </c>
      <c r="Y21" s="3" t="s">
        <v>194</v>
      </c>
      <c r="Z21" s="3" t="s">
        <v>87</v>
      </c>
      <c r="AA21" s="3" t="s">
        <v>55</v>
      </c>
      <c r="AB21" s="3" t="s">
        <v>63</v>
      </c>
    </row>
    <row r="22" ht="14.25" customHeight="1">
      <c r="A22" s="1" t="s">
        <v>195</v>
      </c>
      <c r="B22" s="1"/>
      <c r="C22" s="2" t="s">
        <v>188</v>
      </c>
      <c r="D22" s="2" t="s">
        <v>188</v>
      </c>
      <c r="E22" s="1" t="s">
        <v>68</v>
      </c>
      <c r="F22" s="2">
        <v>11.0</v>
      </c>
      <c r="G22" s="3" t="s">
        <v>133</v>
      </c>
      <c r="H22" s="11" t="s">
        <v>133</v>
      </c>
      <c r="I22" s="11" t="s">
        <v>133</v>
      </c>
      <c r="J22" s="3"/>
      <c r="K22" s="3"/>
      <c r="L22" s="3" t="s">
        <v>196</v>
      </c>
      <c r="M22" s="2">
        <v>1.0</v>
      </c>
      <c r="N22" s="2">
        <v>0.0</v>
      </c>
      <c r="O22" s="2">
        <v>4.0</v>
      </c>
      <c r="P22" s="2">
        <v>0.0</v>
      </c>
      <c r="Q22" s="2">
        <v>0.0</v>
      </c>
      <c r="R22" s="2">
        <f>'נתוני זיהוי זאבים (2)'!$N22+'נתוני זיהוי זאבים (2)'!$O22+'נתוני זיהוי זאבים (2)'!$P22+'נתוני זיהוי זאבים (2)'!$Q22</f>
        <v>4</v>
      </c>
      <c r="S22" s="3" t="s">
        <v>197</v>
      </c>
      <c r="T22" s="3" t="s">
        <v>198</v>
      </c>
      <c r="U22" s="3" t="s">
        <v>38</v>
      </c>
      <c r="V22" s="3" t="s">
        <v>155</v>
      </c>
      <c r="W22" s="3" t="s">
        <v>199</v>
      </c>
      <c r="X22" s="3" t="s">
        <v>199</v>
      </c>
      <c r="Y22" s="3" t="s">
        <v>148</v>
      </c>
      <c r="Z22" s="3" t="s">
        <v>87</v>
      </c>
      <c r="AA22" s="3" t="s">
        <v>55</v>
      </c>
      <c r="AB22" s="3" t="s">
        <v>63</v>
      </c>
    </row>
    <row r="23" ht="14.25" customHeight="1">
      <c r="A23" s="1" t="s">
        <v>200</v>
      </c>
      <c r="B23" s="1"/>
      <c r="C23" s="2" t="s">
        <v>188</v>
      </c>
      <c r="D23" s="2" t="s">
        <v>188</v>
      </c>
      <c r="E23" s="1" t="s">
        <v>201</v>
      </c>
      <c r="F23" s="2">
        <v>12.0</v>
      </c>
      <c r="G23" s="3" t="s">
        <v>133</v>
      </c>
      <c r="H23" s="11" t="s">
        <v>133</v>
      </c>
      <c r="I23" s="11" t="s">
        <v>133</v>
      </c>
      <c r="J23" s="3"/>
      <c r="K23" s="3"/>
      <c r="L23" s="3" t="s">
        <v>202</v>
      </c>
      <c r="M23" s="2">
        <v>1.0</v>
      </c>
      <c r="N23" s="2">
        <v>0.0</v>
      </c>
      <c r="O23" s="2">
        <v>2.0</v>
      </c>
      <c r="P23" s="2">
        <v>0.0</v>
      </c>
      <c r="Q23" s="2">
        <v>1.0</v>
      </c>
      <c r="R23" s="2">
        <f>'נתוני זיהוי זאבים (2)'!$N23+'נתוני זיהוי זאבים (2)'!$O23+'נתוני זיהוי זאבים (2)'!$P23+'נתוני זיהוי זאבים (2)'!$Q23</f>
        <v>3</v>
      </c>
      <c r="S23" s="3" t="s">
        <v>203</v>
      </c>
      <c r="T23" s="3" t="s">
        <v>204</v>
      </c>
      <c r="U23" s="3" t="s">
        <v>41</v>
      </c>
      <c r="V23" s="3" t="s">
        <v>39</v>
      </c>
      <c r="W23" s="3" t="s">
        <v>40</v>
      </c>
      <c r="X23" s="3" t="s">
        <v>39</v>
      </c>
      <c r="Y23" s="3" t="s">
        <v>148</v>
      </c>
      <c r="Z23" s="3" t="s">
        <v>54</v>
      </c>
      <c r="AA23" s="3" t="s">
        <v>55</v>
      </c>
      <c r="AB23" s="3" t="s">
        <v>44</v>
      </c>
    </row>
    <row r="24" ht="14.25" customHeight="1">
      <c r="A24" s="1" t="s">
        <v>205</v>
      </c>
      <c r="B24" s="1"/>
      <c r="C24" s="2" t="s">
        <v>188</v>
      </c>
      <c r="D24" s="2" t="s">
        <v>188</v>
      </c>
      <c r="E24" s="1" t="s">
        <v>68</v>
      </c>
      <c r="F24" s="2">
        <v>15.0</v>
      </c>
      <c r="G24" s="3" t="s">
        <v>133</v>
      </c>
      <c r="H24" s="11" t="s">
        <v>133</v>
      </c>
      <c r="I24" s="11" t="s">
        <v>133</v>
      </c>
      <c r="J24" s="3"/>
      <c r="K24" s="3"/>
      <c r="L24" s="3" t="s">
        <v>206</v>
      </c>
      <c r="M24" s="2">
        <v>1.0</v>
      </c>
      <c r="N24" s="2">
        <v>1.0</v>
      </c>
      <c r="O24" s="2">
        <v>3.0</v>
      </c>
      <c r="P24" s="2">
        <v>1.0</v>
      </c>
      <c r="Q24" s="2">
        <v>0.0</v>
      </c>
      <c r="R24" s="2">
        <f>'נתוני זיהוי זאבים (2)'!$N24+'נתוני זיהוי זאבים (2)'!$O24+'נתוני זיהוי זאבים (2)'!$P24+'נתוני זיהוי זאבים (2)'!$Q24</f>
        <v>5</v>
      </c>
      <c r="S24" s="3" t="s">
        <v>207</v>
      </c>
      <c r="T24" s="3" t="s">
        <v>208</v>
      </c>
      <c r="U24" s="3" t="s">
        <v>209</v>
      </c>
      <c r="V24" s="3" t="s">
        <v>210</v>
      </c>
      <c r="W24" s="3" t="s">
        <v>193</v>
      </c>
      <c r="X24" s="3" t="s">
        <v>193</v>
      </c>
      <c r="Y24" s="3" t="s">
        <v>86</v>
      </c>
      <c r="Z24" s="3" t="s">
        <v>87</v>
      </c>
      <c r="AA24" s="3" t="s">
        <v>211</v>
      </c>
      <c r="AB24" s="3" t="s">
        <v>44</v>
      </c>
    </row>
    <row r="25" ht="14.25" customHeight="1">
      <c r="A25" s="1" t="s">
        <v>212</v>
      </c>
      <c r="B25" s="1"/>
      <c r="C25" s="2" t="s">
        <v>213</v>
      </c>
      <c r="D25" s="2" t="s">
        <v>213</v>
      </c>
      <c r="E25" s="1" t="s">
        <v>201</v>
      </c>
      <c r="F25" s="2">
        <v>12.0</v>
      </c>
      <c r="G25" s="3" t="s">
        <v>46</v>
      </c>
      <c r="H25" s="3"/>
      <c r="I25" s="13"/>
      <c r="J25" s="3" t="s">
        <v>214</v>
      </c>
      <c r="K25" s="3"/>
      <c r="L25" s="3" t="s">
        <v>189</v>
      </c>
      <c r="M25" s="2">
        <v>1.0</v>
      </c>
      <c r="N25" s="2">
        <v>3.0</v>
      </c>
      <c r="O25" s="2">
        <v>0.0</v>
      </c>
      <c r="P25" s="2">
        <v>0.0</v>
      </c>
      <c r="Q25" s="2">
        <v>0.0</v>
      </c>
      <c r="R25" s="2">
        <f>'נתוני זיהוי זאבים (2)'!$N25+'נתוני זיהוי זאבים (2)'!$O25+'נתוני זיהוי זאבים (2)'!$P25+'נתוני זיהוי זאבים (2)'!$Q25</f>
        <v>3</v>
      </c>
      <c r="S25" s="3" t="s">
        <v>215</v>
      </c>
      <c r="T25" s="3" t="s">
        <v>216</v>
      </c>
      <c r="U25" s="3" t="s">
        <v>217</v>
      </c>
      <c r="V25" s="3" t="s">
        <v>218</v>
      </c>
      <c r="W25" s="3" t="s">
        <v>199</v>
      </c>
      <c r="X25" s="3" t="s">
        <v>199</v>
      </c>
      <c r="Y25" s="3" t="s">
        <v>86</v>
      </c>
      <c r="Z25" s="3" t="s">
        <v>87</v>
      </c>
      <c r="AA25" s="3" t="s">
        <v>55</v>
      </c>
      <c r="AB25" s="3" t="s">
        <v>42</v>
      </c>
    </row>
    <row r="26" ht="14.25" customHeight="1">
      <c r="A26" s="1" t="s">
        <v>219</v>
      </c>
      <c r="B26" s="1"/>
      <c r="C26" s="2" t="s">
        <v>213</v>
      </c>
      <c r="D26" s="2" t="s">
        <v>213</v>
      </c>
      <c r="E26" s="1"/>
      <c r="F26" s="2">
        <v>12.0</v>
      </c>
      <c r="G26" s="3" t="s">
        <v>57</v>
      </c>
      <c r="H26" s="3"/>
      <c r="I26" s="14"/>
      <c r="J26" s="3"/>
      <c r="K26" s="3"/>
      <c r="L26" s="3" t="s">
        <v>220</v>
      </c>
      <c r="M26" s="2">
        <v>1.0</v>
      </c>
      <c r="N26" s="2">
        <v>3.0</v>
      </c>
      <c r="O26" s="2">
        <v>0.0</v>
      </c>
      <c r="P26" s="2">
        <v>0.0</v>
      </c>
      <c r="Q26" s="2">
        <v>0.0</v>
      </c>
      <c r="R26" s="2">
        <f>'נתוני זיהוי זאבים (2)'!$N26+'נתוני זיהוי זאבים (2)'!$O26+'נתוני זיהוי זאבים (2)'!$P26+'נתוני זיהוי זאבים (2)'!$Q26</f>
        <v>3</v>
      </c>
      <c r="S26" s="3" t="s">
        <v>221</v>
      </c>
      <c r="T26" s="3" t="s">
        <v>222</v>
      </c>
      <c r="U26" s="3" t="s">
        <v>223</v>
      </c>
      <c r="V26" s="3" t="s">
        <v>155</v>
      </c>
      <c r="W26" s="3" t="s">
        <v>224</v>
      </c>
      <c r="X26" s="3" t="s">
        <v>225</v>
      </c>
      <c r="Y26" s="3" t="s">
        <v>159</v>
      </c>
      <c r="Z26" s="3" t="s">
        <v>54</v>
      </c>
      <c r="AA26" s="3" t="s">
        <v>55</v>
      </c>
      <c r="AB26" s="3" t="s">
        <v>42</v>
      </c>
    </row>
    <row r="27" ht="14.25" customHeight="1">
      <c r="A27" s="1" t="s">
        <v>226</v>
      </c>
      <c r="B27" s="1"/>
      <c r="C27" s="2" t="s">
        <v>213</v>
      </c>
      <c r="D27" s="2" t="s">
        <v>213</v>
      </c>
      <c r="E27" s="1"/>
      <c r="F27" s="2">
        <v>53.0</v>
      </c>
      <c r="G27" s="3" t="s">
        <v>57</v>
      </c>
      <c r="H27" s="3"/>
      <c r="I27" s="15" t="s">
        <v>201</v>
      </c>
      <c r="J27" s="3"/>
      <c r="K27" s="3"/>
      <c r="L27" s="3" t="s">
        <v>227</v>
      </c>
      <c r="M27" s="2">
        <v>1.0</v>
      </c>
      <c r="N27" s="2">
        <v>3.0</v>
      </c>
      <c r="O27" s="2">
        <v>0.0</v>
      </c>
      <c r="P27" s="2">
        <v>0.0</v>
      </c>
      <c r="Q27" s="2">
        <v>0.0</v>
      </c>
      <c r="R27" s="2">
        <f>'נתוני זיהוי זאבים (2)'!$N27+'נתוני זיהוי זאבים (2)'!$O27+'נתוני זיהוי זאבים (2)'!$P27+'נתוני זיהוי זאבים (2)'!$Q27</f>
        <v>3</v>
      </c>
      <c r="S27" s="3" t="s">
        <v>228</v>
      </c>
      <c r="T27" s="3" t="s">
        <v>229</v>
      </c>
      <c r="U27" s="3" t="s">
        <v>230</v>
      </c>
      <c r="V27" s="3" t="s">
        <v>44</v>
      </c>
      <c r="W27" s="3" t="s">
        <v>40</v>
      </c>
      <c r="X27" s="3" t="s">
        <v>40</v>
      </c>
      <c r="Y27" s="3" t="s">
        <v>95</v>
      </c>
      <c r="Z27" s="3" t="s">
        <v>39</v>
      </c>
      <c r="AA27" s="3" t="s">
        <v>231</v>
      </c>
      <c r="AB27" s="3" t="s">
        <v>44</v>
      </c>
    </row>
    <row r="28" ht="14.25" customHeight="1">
      <c r="A28" s="1" t="s">
        <v>232</v>
      </c>
      <c r="B28" s="1"/>
      <c r="C28" s="2" t="s">
        <v>213</v>
      </c>
      <c r="D28" s="2" t="s">
        <v>213</v>
      </c>
      <c r="E28" s="1"/>
      <c r="F28" s="2">
        <v>53.0</v>
      </c>
      <c r="G28" s="3" t="s">
        <v>46</v>
      </c>
      <c r="H28" s="3"/>
      <c r="I28" s="16"/>
      <c r="J28" s="3" t="s">
        <v>233</v>
      </c>
      <c r="K28" s="3" t="s">
        <v>234</v>
      </c>
      <c r="L28" s="3" t="s">
        <v>227</v>
      </c>
      <c r="M28" s="2">
        <v>1.0</v>
      </c>
      <c r="N28" s="2">
        <v>0.0</v>
      </c>
      <c r="O28" s="2">
        <v>3.0</v>
      </c>
      <c r="P28" s="2">
        <v>0.0</v>
      </c>
      <c r="Q28" s="2">
        <v>0.0</v>
      </c>
      <c r="R28" s="2">
        <f>'נתוני זיהוי זאבים (2)'!$N28+'נתוני זיהוי זאבים (2)'!$O28+'נתוני זיהוי זאבים (2)'!$P28+'נתוני זיהוי זאבים (2)'!$Q28</f>
        <v>3</v>
      </c>
      <c r="S28" s="3" t="s">
        <v>235</v>
      </c>
      <c r="T28" s="3" t="s">
        <v>236</v>
      </c>
      <c r="U28" s="3" t="s">
        <v>185</v>
      </c>
      <c r="V28" s="3" t="s">
        <v>40</v>
      </c>
      <c r="W28" s="3" t="s">
        <v>40</v>
      </c>
      <c r="X28" s="3" t="s">
        <v>39</v>
      </c>
      <c r="Y28" s="3" t="s">
        <v>39</v>
      </c>
      <c r="Z28" s="3" t="s">
        <v>39</v>
      </c>
      <c r="AA28" s="3" t="s">
        <v>39</v>
      </c>
      <c r="AB28" s="3" t="s">
        <v>39</v>
      </c>
    </row>
    <row r="29" ht="14.25" customHeight="1">
      <c r="A29" s="1" t="s">
        <v>237</v>
      </c>
      <c r="B29" s="1"/>
      <c r="C29" s="2" t="s">
        <v>213</v>
      </c>
      <c r="D29" s="2" t="s">
        <v>213</v>
      </c>
      <c r="E29" s="1"/>
      <c r="F29" s="2">
        <v>53.0</v>
      </c>
      <c r="G29" s="3" t="s">
        <v>46</v>
      </c>
      <c r="H29" s="3"/>
      <c r="I29" s="15"/>
      <c r="J29" s="3" t="s">
        <v>238</v>
      </c>
      <c r="K29" s="3" t="s">
        <v>239</v>
      </c>
      <c r="L29" s="3" t="s">
        <v>227</v>
      </c>
      <c r="M29" s="2">
        <v>1.0</v>
      </c>
      <c r="N29" s="2">
        <v>2.0</v>
      </c>
      <c r="O29" s="2">
        <v>0.0</v>
      </c>
      <c r="P29" s="2">
        <v>0.0</v>
      </c>
      <c r="Q29" s="2">
        <v>0.0</v>
      </c>
      <c r="R29" s="2">
        <f>'נתוני זיהוי זאבים (2)'!$N29+'נתוני זיהוי זאבים (2)'!$O29+'נתוני זיהוי זאבים (2)'!$P29+'נתוני זיהוי זאבים (2)'!$Q29</f>
        <v>2</v>
      </c>
      <c r="S29" s="3" t="s">
        <v>240</v>
      </c>
      <c r="T29" s="3" t="s">
        <v>241</v>
      </c>
      <c r="U29" s="3" t="s">
        <v>242</v>
      </c>
      <c r="V29" s="3" t="s">
        <v>39</v>
      </c>
      <c r="W29" s="3" t="s">
        <v>39</v>
      </c>
      <c r="X29" s="3" t="s">
        <v>39</v>
      </c>
      <c r="Y29" s="3" t="s">
        <v>243</v>
      </c>
      <c r="Z29" s="3" t="s">
        <v>39</v>
      </c>
      <c r="AA29" s="3" t="s">
        <v>63</v>
      </c>
      <c r="AB29" s="3" t="s">
        <v>39</v>
      </c>
    </row>
    <row r="30" ht="14.25" hidden="1" customHeight="1">
      <c r="A30" s="17" t="s">
        <v>244</v>
      </c>
      <c r="B30" s="17"/>
      <c r="C30" s="18" t="s">
        <v>213</v>
      </c>
      <c r="D30" s="18" t="s">
        <v>213</v>
      </c>
      <c r="E30" s="17"/>
      <c r="F30" s="18">
        <v>53.0</v>
      </c>
      <c r="G30" s="19" t="s">
        <v>57</v>
      </c>
      <c r="H30" s="19"/>
      <c r="I30" s="20" t="s">
        <v>201</v>
      </c>
      <c r="J30" s="19"/>
      <c r="K30" s="19" t="s">
        <v>245</v>
      </c>
      <c r="L30" s="19" t="s">
        <v>246</v>
      </c>
      <c r="M30" s="18"/>
      <c r="N30" s="18"/>
      <c r="O30" s="18"/>
      <c r="P30" s="18"/>
      <c r="Q30" s="18"/>
      <c r="R30" s="18">
        <f>'נתוני זיהוי זאבים (2)'!$N30+'נתוני זיהוי זאבים (2)'!$O30+'נתוני זיהוי זאבים (2)'!$P30+'נתוני זיהוי זאבים (2)'!$Q30</f>
        <v>0</v>
      </c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21"/>
      <c r="AD30" s="21"/>
      <c r="AE30" s="21"/>
      <c r="AF30" s="21"/>
    </row>
    <row r="31" ht="14.25" customHeight="1">
      <c r="A31" s="1" t="s">
        <v>247</v>
      </c>
      <c r="B31" s="1"/>
      <c r="C31" s="2" t="s">
        <v>213</v>
      </c>
      <c r="D31" s="2" t="s">
        <v>213</v>
      </c>
      <c r="E31" s="1"/>
      <c r="F31" s="2">
        <v>54.0</v>
      </c>
      <c r="G31" s="3" t="s">
        <v>133</v>
      </c>
      <c r="H31" s="3"/>
      <c r="I31" s="11" t="s">
        <v>133</v>
      </c>
      <c r="J31" s="3"/>
      <c r="K31" s="3" t="s">
        <v>248</v>
      </c>
      <c r="L31" s="3" t="s">
        <v>249</v>
      </c>
      <c r="M31" s="2">
        <v>1.0</v>
      </c>
      <c r="N31" s="2">
        <v>0.0</v>
      </c>
      <c r="O31" s="2">
        <v>0.0</v>
      </c>
      <c r="P31" s="2">
        <v>2.0</v>
      </c>
      <c r="Q31" s="2">
        <v>0.0</v>
      </c>
      <c r="R31" s="2">
        <f>'נתוני זיהוי זאבים (2)'!$N31+'נתוני זיהוי זאבים (2)'!$O31+'נתוני זיהוי זאבים (2)'!$P31+'נתוני זיהוי זאבים (2)'!$Q31</f>
        <v>2</v>
      </c>
      <c r="S31" s="3" t="s">
        <v>250</v>
      </c>
      <c r="T31" s="3" t="s">
        <v>186</v>
      </c>
      <c r="U31" s="3" t="s">
        <v>251</v>
      </c>
      <c r="V31" s="3" t="s">
        <v>252</v>
      </c>
      <c r="W31" s="3" t="s">
        <v>224</v>
      </c>
      <c r="X31" s="3" t="s">
        <v>252</v>
      </c>
      <c r="Y31" s="3" t="s">
        <v>253</v>
      </c>
      <c r="Z31" s="3" t="s">
        <v>85</v>
      </c>
      <c r="AA31" s="3" t="s">
        <v>85</v>
      </c>
      <c r="AB31" s="3" t="s">
        <v>39</v>
      </c>
    </row>
    <row r="32" ht="14.25" customHeight="1">
      <c r="A32" s="1" t="s">
        <v>254</v>
      </c>
      <c r="B32" s="1"/>
      <c r="C32" s="2" t="s">
        <v>255</v>
      </c>
      <c r="D32" s="2" t="s">
        <v>255</v>
      </c>
      <c r="E32" s="1"/>
      <c r="F32" s="2">
        <v>7.0</v>
      </c>
      <c r="G32" s="3" t="s">
        <v>32</v>
      </c>
      <c r="H32" s="3"/>
      <c r="I32" s="13" t="s">
        <v>256</v>
      </c>
      <c r="J32" s="13" t="s">
        <v>257</v>
      </c>
      <c r="K32" s="3" t="s">
        <v>258</v>
      </c>
      <c r="L32" s="3" t="s">
        <v>259</v>
      </c>
      <c r="M32" s="2">
        <v>1.0</v>
      </c>
      <c r="N32" s="2">
        <v>0.0</v>
      </c>
      <c r="O32" s="2">
        <v>3.0</v>
      </c>
      <c r="P32" s="2">
        <v>0.0</v>
      </c>
      <c r="Q32" s="2">
        <v>0.0</v>
      </c>
      <c r="R32" s="2">
        <f>'נתוני זיהוי זאבים (2)'!$N32+'נתוני זיהוי זאבים (2)'!$O32+'נתוני זיהוי זאבים (2)'!$P32+'נתוני זיהוי זאבים (2)'!$Q32</f>
        <v>3</v>
      </c>
      <c r="S32" s="3" t="s">
        <v>260</v>
      </c>
      <c r="T32" s="3" t="s">
        <v>261</v>
      </c>
      <c r="U32" s="3" t="s">
        <v>109</v>
      </c>
      <c r="V32" s="3" t="s">
        <v>210</v>
      </c>
      <c r="W32" s="3" t="s">
        <v>125</v>
      </c>
      <c r="X32" s="3" t="s">
        <v>252</v>
      </c>
      <c r="Y32" s="3" t="s">
        <v>262</v>
      </c>
      <c r="Z32" s="3" t="s">
        <v>42</v>
      </c>
      <c r="AA32" s="3" t="s">
        <v>263</v>
      </c>
      <c r="AB32" s="3" t="s">
        <v>44</v>
      </c>
    </row>
    <row r="33" ht="15.0" customHeight="1">
      <c r="A33" s="2" t="s">
        <v>264</v>
      </c>
      <c r="B33" s="3"/>
      <c r="C33" s="2" t="s">
        <v>255</v>
      </c>
      <c r="D33" s="2" t="s">
        <v>255</v>
      </c>
      <c r="E33" s="3"/>
      <c r="F33" s="2">
        <v>6.0</v>
      </c>
      <c r="G33" s="3" t="s">
        <v>133</v>
      </c>
      <c r="H33" s="3"/>
      <c r="I33" s="11" t="s">
        <v>133</v>
      </c>
      <c r="J33" s="3"/>
      <c r="K33" s="3"/>
      <c r="L33" s="3" t="s">
        <v>265</v>
      </c>
      <c r="M33" s="2">
        <v>1.0</v>
      </c>
      <c r="N33" s="2">
        <v>4.0</v>
      </c>
      <c r="O33" s="2">
        <v>0.0</v>
      </c>
      <c r="P33" s="2">
        <v>0.0</v>
      </c>
      <c r="Q33" s="2">
        <v>0.0</v>
      </c>
      <c r="R33" s="2">
        <f>'נתוני זיהוי זאבים (2)'!$N33+'נתוני זיהוי זאבים (2)'!$O33+'נתוני זיהוי זאבים (2)'!$P33+'נתוני זיהוי זאבים (2)'!$Q33</f>
        <v>4</v>
      </c>
      <c r="S33" s="3" t="s">
        <v>266</v>
      </c>
      <c r="T33" s="3" t="s">
        <v>267</v>
      </c>
      <c r="U33" s="3" t="s">
        <v>109</v>
      </c>
      <c r="V33" s="3" t="s">
        <v>155</v>
      </c>
      <c r="W33" s="3" t="s">
        <v>268</v>
      </c>
      <c r="X33" s="3" t="s">
        <v>268</v>
      </c>
      <c r="Y33" s="3" t="s">
        <v>262</v>
      </c>
      <c r="Z33" s="3" t="s">
        <v>85</v>
      </c>
      <c r="AA33" s="3" t="s">
        <v>96</v>
      </c>
      <c r="AB33" s="3" t="s">
        <v>44</v>
      </c>
    </row>
    <row r="34" ht="14.25" customHeight="1">
      <c r="A34" s="1" t="s">
        <v>269</v>
      </c>
      <c r="B34" s="1"/>
      <c r="C34" s="2" t="s">
        <v>255</v>
      </c>
      <c r="D34" s="2" t="s">
        <v>255</v>
      </c>
      <c r="E34" s="1"/>
      <c r="F34" s="2">
        <v>7.0</v>
      </c>
      <c r="G34" s="3" t="s">
        <v>133</v>
      </c>
      <c r="H34" s="3"/>
      <c r="I34" s="11" t="s">
        <v>133</v>
      </c>
      <c r="J34" s="3"/>
      <c r="K34" s="3" t="s">
        <v>270</v>
      </c>
      <c r="L34" s="3" t="s">
        <v>48</v>
      </c>
      <c r="M34" s="2">
        <v>1.0</v>
      </c>
      <c r="N34" s="2">
        <v>0.0</v>
      </c>
      <c r="O34" s="2">
        <v>2.0</v>
      </c>
      <c r="P34" s="2">
        <v>0.0</v>
      </c>
      <c r="Q34" s="2">
        <v>0.0</v>
      </c>
      <c r="R34" s="2">
        <f>'נתוני זיהוי זאבים (2)'!$N34+'נתוני זיהוי זאבים (2)'!$O34+'נתוני זיהוי זאבים (2)'!$P34+'נתוני זיהוי זאבים (2)'!$Q34</f>
        <v>2</v>
      </c>
      <c r="S34" s="3" t="s">
        <v>271</v>
      </c>
      <c r="T34" s="3" t="s">
        <v>39</v>
      </c>
      <c r="U34" s="3" t="s">
        <v>138</v>
      </c>
      <c r="V34" s="3" t="s">
        <v>40</v>
      </c>
      <c r="W34" s="3" t="s">
        <v>40</v>
      </c>
      <c r="X34" s="3" t="s">
        <v>40</v>
      </c>
      <c r="Y34" s="3" t="s">
        <v>272</v>
      </c>
      <c r="Z34" s="3" t="s">
        <v>39</v>
      </c>
      <c r="AA34" s="3" t="s">
        <v>273</v>
      </c>
      <c r="AB34" s="3" t="s">
        <v>42</v>
      </c>
    </row>
    <row r="35" ht="14.25" customHeight="1">
      <c r="A35" s="1" t="s">
        <v>274</v>
      </c>
      <c r="B35" s="1"/>
      <c r="C35" s="2" t="s">
        <v>255</v>
      </c>
      <c r="D35" s="2" t="s">
        <v>255</v>
      </c>
      <c r="E35" s="1" t="s">
        <v>31</v>
      </c>
      <c r="F35" s="2">
        <v>7.0</v>
      </c>
      <c r="G35" s="3" t="s">
        <v>32</v>
      </c>
      <c r="H35" s="3"/>
      <c r="I35" s="22" t="s">
        <v>256</v>
      </c>
      <c r="J35" s="23" t="s">
        <v>257</v>
      </c>
      <c r="K35" s="3"/>
      <c r="L35" s="3" t="s">
        <v>275</v>
      </c>
      <c r="M35" s="2">
        <v>2.0</v>
      </c>
      <c r="N35" s="2">
        <v>5.0</v>
      </c>
      <c r="O35" s="2">
        <v>0.0</v>
      </c>
      <c r="P35" s="2">
        <v>1.0</v>
      </c>
      <c r="Q35" s="2">
        <v>1.0</v>
      </c>
      <c r="R35" s="2">
        <f>'נתוני זיהוי זאבים (2)'!$N35+'נתוני זיהוי זאבים (2)'!$O35+'נתוני זיהוי זאבים (2)'!$P35+'נתוני זיהוי זאבים (2)'!$Q35</f>
        <v>7</v>
      </c>
      <c r="S35" s="3" t="s">
        <v>276</v>
      </c>
      <c r="T35" s="3" t="s">
        <v>277</v>
      </c>
      <c r="U35" s="3" t="s">
        <v>242</v>
      </c>
      <c r="V35" s="3" t="s">
        <v>278</v>
      </c>
      <c r="W35" s="3" t="s">
        <v>193</v>
      </c>
      <c r="X35" s="3" t="s">
        <v>193</v>
      </c>
      <c r="Y35" s="3" t="s">
        <v>194</v>
      </c>
      <c r="Z35" s="3" t="s">
        <v>42</v>
      </c>
      <c r="AA35" s="3" t="s">
        <v>279</v>
      </c>
      <c r="AB35" s="3" t="s">
        <v>85</v>
      </c>
    </row>
    <row r="36" ht="15.75" customHeight="1">
      <c r="A36" s="1" t="s">
        <v>280</v>
      </c>
      <c r="B36" s="1"/>
      <c r="C36" s="2" t="s">
        <v>255</v>
      </c>
      <c r="D36" s="2" t="s">
        <v>255</v>
      </c>
      <c r="E36" s="1" t="s">
        <v>68</v>
      </c>
      <c r="F36" s="2">
        <v>7.0</v>
      </c>
      <c r="G36" s="3" t="s">
        <v>32</v>
      </c>
      <c r="H36" s="3"/>
      <c r="I36" s="24" t="s">
        <v>256</v>
      </c>
      <c r="J36" s="25" t="s">
        <v>257</v>
      </c>
      <c r="K36" s="26" t="s">
        <v>281</v>
      </c>
      <c r="L36" s="3" t="s">
        <v>282</v>
      </c>
      <c r="M36" s="2">
        <v>1.0</v>
      </c>
      <c r="N36" s="2">
        <v>0.0</v>
      </c>
      <c r="O36" s="2">
        <v>0.0</v>
      </c>
      <c r="P36" s="2">
        <v>2.0</v>
      </c>
      <c r="Q36" s="2">
        <v>0.0</v>
      </c>
      <c r="R36" s="2">
        <f>'נתוני זיהוי זאבים (2)'!$N36+'נתוני זיהוי זאבים (2)'!$O36+'נתוני זיהוי זאבים (2)'!$P36+'נתוני זיהוי זאבים (2)'!$Q36</f>
        <v>2</v>
      </c>
      <c r="S36" s="3" t="s">
        <v>283</v>
      </c>
      <c r="T36" s="3" t="s">
        <v>284</v>
      </c>
      <c r="U36" s="3" t="s">
        <v>39</v>
      </c>
      <c r="V36" s="3" t="s">
        <v>52</v>
      </c>
      <c r="W36" s="3" t="s">
        <v>125</v>
      </c>
      <c r="X36" s="3" t="s">
        <v>252</v>
      </c>
      <c r="Y36" s="3" t="s">
        <v>285</v>
      </c>
      <c r="Z36" s="3" t="s">
        <v>54</v>
      </c>
      <c r="AA36" s="3" t="s">
        <v>85</v>
      </c>
      <c r="AB36" s="3" t="s">
        <v>39</v>
      </c>
    </row>
    <row r="37" ht="14.25" customHeight="1">
      <c r="A37" s="1" t="s">
        <v>286</v>
      </c>
      <c r="B37" s="1"/>
      <c r="C37" s="2" t="s">
        <v>255</v>
      </c>
      <c r="D37" s="2" t="s">
        <v>255</v>
      </c>
      <c r="E37" s="1" t="s">
        <v>68</v>
      </c>
      <c r="F37" s="2">
        <v>7.0</v>
      </c>
      <c r="G37" s="3" t="s">
        <v>32</v>
      </c>
      <c r="H37" s="3"/>
      <c r="I37" s="25" t="s">
        <v>256</v>
      </c>
      <c r="J37" s="25" t="s">
        <v>257</v>
      </c>
      <c r="K37" s="26" t="s">
        <v>287</v>
      </c>
      <c r="L37" s="3" t="s">
        <v>282</v>
      </c>
      <c r="M37" s="2">
        <v>1.0</v>
      </c>
      <c r="N37" s="2">
        <v>0.0</v>
      </c>
      <c r="O37" s="2">
        <v>0.0</v>
      </c>
      <c r="P37" s="2">
        <v>3.0</v>
      </c>
      <c r="Q37" s="2">
        <v>0.0</v>
      </c>
      <c r="R37" s="2">
        <f>'נתוני זיהוי זאבים (2)'!$N37+'נתוני זיהוי זאבים (2)'!$O37+'נתוני זיהוי זאבים (2)'!$P37+'נתוני זיהוי זאבים (2)'!$Q37</f>
        <v>3</v>
      </c>
      <c r="S37" s="3" t="s">
        <v>288</v>
      </c>
      <c r="T37" s="3" t="s">
        <v>68</v>
      </c>
      <c r="U37" s="3" t="s">
        <v>39</v>
      </c>
      <c r="V37" s="3" t="s">
        <v>52</v>
      </c>
      <c r="W37" s="3" t="s">
        <v>289</v>
      </c>
      <c r="X37" s="3" t="s">
        <v>290</v>
      </c>
      <c r="Y37" s="27" t="s">
        <v>68</v>
      </c>
      <c r="Z37" s="27" t="s">
        <v>40</v>
      </c>
      <c r="AA37" s="27" t="s">
        <v>85</v>
      </c>
      <c r="AB37" s="27" t="s">
        <v>39</v>
      </c>
    </row>
    <row r="38" ht="14.25" customHeight="1">
      <c r="A38" s="1" t="s">
        <v>291</v>
      </c>
      <c r="B38" s="1"/>
      <c r="C38" s="2" t="s">
        <v>255</v>
      </c>
      <c r="D38" s="2" t="s">
        <v>255</v>
      </c>
      <c r="E38" s="1" t="s">
        <v>68</v>
      </c>
      <c r="F38" s="2">
        <v>7.0</v>
      </c>
      <c r="G38" s="3" t="s">
        <v>32</v>
      </c>
      <c r="H38" s="3"/>
      <c r="I38" s="25" t="s">
        <v>256</v>
      </c>
      <c r="J38" s="25" t="s">
        <v>257</v>
      </c>
      <c r="K38" s="26"/>
      <c r="L38" s="3" t="s">
        <v>292</v>
      </c>
      <c r="M38" s="2">
        <v>1.0</v>
      </c>
      <c r="N38" s="2">
        <v>0.0</v>
      </c>
      <c r="O38" s="2">
        <v>2.0</v>
      </c>
      <c r="P38" s="2">
        <v>0.0</v>
      </c>
      <c r="Q38" s="2">
        <v>0.0</v>
      </c>
      <c r="R38" s="2">
        <f>'נתוני זיהוי זאבים (2)'!$N38+'נתוני זיהוי זאבים (2)'!$O38+'נתוני זיהוי זאבים (2)'!$P38+'נתוני זיהוי זאבים (2)'!$Q38</f>
        <v>2</v>
      </c>
      <c r="S38" s="3" t="s">
        <v>293</v>
      </c>
      <c r="T38" s="3" t="s">
        <v>294</v>
      </c>
      <c r="U38" s="3" t="s">
        <v>118</v>
      </c>
      <c r="V38" s="3" t="s">
        <v>278</v>
      </c>
      <c r="W38" s="3" t="s">
        <v>295</v>
      </c>
      <c r="X38" s="3" t="s">
        <v>252</v>
      </c>
      <c r="Y38" s="3" t="s">
        <v>296</v>
      </c>
      <c r="Z38" s="3" t="s">
        <v>75</v>
      </c>
      <c r="AA38" s="3" t="s">
        <v>55</v>
      </c>
      <c r="AB38" s="3" t="s">
        <v>44</v>
      </c>
    </row>
    <row r="39" ht="14.25" customHeight="1">
      <c r="A39" s="1" t="s">
        <v>297</v>
      </c>
      <c r="B39" s="1"/>
      <c r="C39" s="2" t="s">
        <v>255</v>
      </c>
      <c r="D39" s="2" t="s">
        <v>255</v>
      </c>
      <c r="E39" s="1" t="s">
        <v>68</v>
      </c>
      <c r="F39" s="2">
        <v>7.0</v>
      </c>
      <c r="G39" s="3" t="s">
        <v>32</v>
      </c>
      <c r="H39" s="3"/>
      <c r="I39" s="25" t="s">
        <v>256</v>
      </c>
      <c r="J39" s="27" t="s">
        <v>201</v>
      </c>
      <c r="K39" s="3" t="s">
        <v>258</v>
      </c>
      <c r="L39" s="3" t="s">
        <v>259</v>
      </c>
      <c r="M39" s="2">
        <v>1.0</v>
      </c>
      <c r="N39" s="2">
        <v>1.0</v>
      </c>
      <c r="O39" s="2">
        <v>4.0</v>
      </c>
      <c r="P39" s="2">
        <v>2.0</v>
      </c>
      <c r="Q39" s="2">
        <v>0.0</v>
      </c>
      <c r="R39" s="2">
        <f>'נתוני זיהוי זאבים (2)'!$N39+'נתוני זיהוי זאבים (2)'!$O39+'נתוני זיהוי זאבים (2)'!$P39+'נתוני זיהוי זאבים (2)'!$Q39</f>
        <v>7</v>
      </c>
      <c r="S39" s="3" t="s">
        <v>298</v>
      </c>
      <c r="T39" s="3" t="s">
        <v>299</v>
      </c>
      <c r="U39" s="3" t="s">
        <v>300</v>
      </c>
      <c r="V39" s="3" t="s">
        <v>301</v>
      </c>
      <c r="W39" s="3" t="s">
        <v>268</v>
      </c>
      <c r="X39" s="3" t="s">
        <v>268</v>
      </c>
      <c r="Y39" s="3" t="s">
        <v>148</v>
      </c>
      <c r="Z39" s="3" t="s">
        <v>87</v>
      </c>
      <c r="AA39" s="3" t="s">
        <v>88</v>
      </c>
      <c r="AB39" s="3" t="s">
        <v>44</v>
      </c>
    </row>
    <row r="40" ht="14.25" customHeight="1">
      <c r="A40" s="1" t="s">
        <v>302</v>
      </c>
      <c r="B40" s="1"/>
      <c r="C40" s="2" t="s">
        <v>255</v>
      </c>
      <c r="D40" s="2" t="s">
        <v>255</v>
      </c>
      <c r="E40" s="1"/>
      <c r="F40" s="2">
        <v>7.0</v>
      </c>
      <c r="G40" s="3" t="s">
        <v>303</v>
      </c>
      <c r="H40" s="3"/>
      <c r="I40" s="24" t="s">
        <v>304</v>
      </c>
      <c r="J40" s="25" t="s">
        <v>201</v>
      </c>
      <c r="K40" s="3" t="s">
        <v>258</v>
      </c>
      <c r="L40" s="3" t="s">
        <v>305</v>
      </c>
      <c r="M40" s="2">
        <v>1.0</v>
      </c>
      <c r="N40" s="2">
        <v>0.0</v>
      </c>
      <c r="O40" s="2">
        <v>0.0</v>
      </c>
      <c r="P40" s="2">
        <v>2.0</v>
      </c>
      <c r="Q40" s="2">
        <v>0.0</v>
      </c>
      <c r="R40" s="2">
        <f>'נתוני זיהוי זאבים (2)'!$N40+'נתוני זיהוי זאבים (2)'!$O40+'נתוני זיהוי זאבים (2)'!$P40+'נתוני זיהוי זאבים (2)'!$Q40</f>
        <v>2</v>
      </c>
      <c r="S40" s="3" t="s">
        <v>306</v>
      </c>
      <c r="T40" s="3" t="s">
        <v>299</v>
      </c>
      <c r="U40" s="3" t="s">
        <v>285</v>
      </c>
      <c r="V40" s="3" t="s">
        <v>210</v>
      </c>
      <c r="W40" s="3" t="s">
        <v>307</v>
      </c>
      <c r="X40" s="3" t="s">
        <v>155</v>
      </c>
      <c r="Y40" s="3" t="s">
        <v>194</v>
      </c>
      <c r="Z40" s="3" t="s">
        <v>87</v>
      </c>
      <c r="AA40" s="3" t="s">
        <v>85</v>
      </c>
      <c r="AB40" s="3" t="s">
        <v>44</v>
      </c>
    </row>
    <row r="41" ht="14.25" customHeight="1">
      <c r="A41" s="1" t="s">
        <v>308</v>
      </c>
      <c r="B41" s="1"/>
      <c r="C41" s="2" t="s">
        <v>255</v>
      </c>
      <c r="D41" s="2" t="s">
        <v>255</v>
      </c>
      <c r="E41" s="1"/>
      <c r="F41" s="2">
        <v>7.0</v>
      </c>
      <c r="G41" s="3" t="s">
        <v>32</v>
      </c>
      <c r="H41" s="3"/>
      <c r="I41" s="24" t="s">
        <v>256</v>
      </c>
      <c r="J41" s="25" t="s">
        <v>257</v>
      </c>
      <c r="K41" s="3" t="s">
        <v>258</v>
      </c>
      <c r="L41" s="3" t="s">
        <v>282</v>
      </c>
      <c r="M41" s="2">
        <v>1.0</v>
      </c>
      <c r="N41" s="2">
        <v>0.0</v>
      </c>
      <c r="O41" s="2">
        <v>3.0</v>
      </c>
      <c r="P41" s="2">
        <v>2.0</v>
      </c>
      <c r="Q41" s="2">
        <v>0.0</v>
      </c>
      <c r="R41" s="2">
        <f>'נתוני זיהוי זאבים (2)'!$N41+'נתוני זיהוי זאבים (2)'!$O41+'נתוני זיהוי זאבים (2)'!$P41+'נתוני זיהוי זאבים (2)'!$Q41</f>
        <v>5</v>
      </c>
      <c r="S41" s="3" t="s">
        <v>309</v>
      </c>
      <c r="T41" s="3" t="s">
        <v>310</v>
      </c>
      <c r="U41" s="3" t="s">
        <v>109</v>
      </c>
      <c r="V41" s="3" t="s">
        <v>52</v>
      </c>
      <c r="W41" s="3" t="s">
        <v>224</v>
      </c>
      <c r="X41" s="3" t="s">
        <v>252</v>
      </c>
      <c r="Y41" s="3" t="s">
        <v>262</v>
      </c>
      <c r="Z41" s="3" t="s">
        <v>85</v>
      </c>
      <c r="AA41" s="3" t="s">
        <v>85</v>
      </c>
      <c r="AB41" s="3" t="s">
        <v>44</v>
      </c>
    </row>
    <row r="42" ht="14.25" customHeight="1">
      <c r="A42" s="1" t="s">
        <v>311</v>
      </c>
      <c r="B42" s="1"/>
      <c r="C42" s="2" t="s">
        <v>255</v>
      </c>
      <c r="D42" s="2" t="s">
        <v>255</v>
      </c>
      <c r="E42" s="1" t="s">
        <v>68</v>
      </c>
      <c r="F42" s="2">
        <v>7.0</v>
      </c>
      <c r="G42" s="3" t="s">
        <v>32</v>
      </c>
      <c r="H42" s="3"/>
      <c r="I42" s="24" t="s">
        <v>256</v>
      </c>
      <c r="J42" s="25" t="s">
        <v>257</v>
      </c>
      <c r="K42" s="3" t="s">
        <v>258</v>
      </c>
      <c r="L42" s="3" t="s">
        <v>282</v>
      </c>
      <c r="M42" s="2">
        <v>1.0</v>
      </c>
      <c r="N42" s="2">
        <v>0.0</v>
      </c>
      <c r="O42" s="2">
        <v>3.0</v>
      </c>
      <c r="P42" s="2">
        <v>1.0</v>
      </c>
      <c r="Q42" s="2">
        <v>0.0</v>
      </c>
      <c r="R42" s="2">
        <f>'נתוני זיהוי זאבים (2)'!$N42+'נתוני זיהוי זאבים (2)'!$O42+'נתוני זיהוי זאבים (2)'!$P42+'נתוני זיהוי זאבים (2)'!$Q42</f>
        <v>4</v>
      </c>
      <c r="S42" s="3" t="s">
        <v>312</v>
      </c>
      <c r="T42" s="3" t="s">
        <v>313</v>
      </c>
      <c r="U42" s="3" t="s">
        <v>314</v>
      </c>
      <c r="V42" s="3" t="s">
        <v>52</v>
      </c>
      <c r="W42" s="3" t="s">
        <v>39</v>
      </c>
      <c r="X42" s="3" t="s">
        <v>252</v>
      </c>
      <c r="Y42" s="3" t="s">
        <v>38</v>
      </c>
      <c r="Z42" s="3" t="s">
        <v>54</v>
      </c>
      <c r="AA42" s="3" t="s">
        <v>63</v>
      </c>
      <c r="AB42" s="3" t="s">
        <v>44</v>
      </c>
    </row>
    <row r="43" ht="14.25" customHeight="1">
      <c r="A43" s="1" t="s">
        <v>315</v>
      </c>
      <c r="B43" s="1"/>
      <c r="C43" s="2" t="s">
        <v>255</v>
      </c>
      <c r="D43" s="2" t="s">
        <v>255</v>
      </c>
      <c r="E43" s="1" t="s">
        <v>31</v>
      </c>
      <c r="F43" s="2">
        <v>7.0</v>
      </c>
      <c r="G43" s="3" t="s">
        <v>32</v>
      </c>
      <c r="H43" s="3"/>
      <c r="I43" s="28" t="s">
        <v>256</v>
      </c>
      <c r="J43" s="14" t="s">
        <v>257</v>
      </c>
      <c r="K43" s="3" t="s">
        <v>258</v>
      </c>
      <c r="L43" s="3" t="s">
        <v>282</v>
      </c>
      <c r="M43" s="2">
        <v>1.0</v>
      </c>
      <c r="N43" s="2">
        <v>0.0</v>
      </c>
      <c r="O43" s="2">
        <v>3.0</v>
      </c>
      <c r="P43" s="2">
        <v>0.0</v>
      </c>
      <c r="Q43" s="2">
        <v>0.0</v>
      </c>
      <c r="R43" s="2">
        <f>'נתוני זיהוי זאבים (2)'!$N43+'נתוני זיהוי זאבים (2)'!$O43+'נתוני זיהוי זאבים (2)'!$P43+'נתוני זיהוי זאבים (2)'!$Q43</f>
        <v>3</v>
      </c>
      <c r="S43" s="3" t="s">
        <v>316</v>
      </c>
      <c r="T43" s="3" t="s">
        <v>317</v>
      </c>
      <c r="U43" s="3" t="s">
        <v>109</v>
      </c>
      <c r="V43" s="3" t="s">
        <v>52</v>
      </c>
      <c r="W43" s="3" t="s">
        <v>39</v>
      </c>
      <c r="X43" s="3" t="s">
        <v>252</v>
      </c>
      <c r="Y43" s="3" t="s">
        <v>314</v>
      </c>
      <c r="Z43" s="3" t="s">
        <v>54</v>
      </c>
      <c r="AA43" s="3" t="s">
        <v>85</v>
      </c>
      <c r="AB43" s="3" t="s">
        <v>39</v>
      </c>
    </row>
    <row r="44" ht="14.25" customHeight="1">
      <c r="A44" s="1" t="s">
        <v>318</v>
      </c>
      <c r="B44" s="1"/>
      <c r="C44" s="2" t="s">
        <v>255</v>
      </c>
      <c r="D44" s="2" t="s">
        <v>255</v>
      </c>
      <c r="E44" s="1"/>
      <c r="F44" s="2">
        <v>7.0</v>
      </c>
      <c r="G44" s="3" t="s">
        <v>46</v>
      </c>
      <c r="H44" s="3"/>
      <c r="I44" s="29" t="s">
        <v>319</v>
      </c>
      <c r="J44" s="30" t="s">
        <v>320</v>
      </c>
      <c r="K44" s="3" t="s">
        <v>321</v>
      </c>
      <c r="L44" s="3" t="s">
        <v>322</v>
      </c>
      <c r="M44" s="2">
        <v>2.0</v>
      </c>
      <c r="N44" s="2">
        <v>0.0</v>
      </c>
      <c r="O44" s="2">
        <v>5.0</v>
      </c>
      <c r="P44" s="2">
        <v>2.0</v>
      </c>
      <c r="Q44" s="2">
        <v>0.0</v>
      </c>
      <c r="R44" s="2">
        <f>'נתוני זיהוי זאבים (2)'!$N44+'נתוני זיהוי זאבים (2)'!$O44+'נתוני זיהוי זאבים (2)'!$P44+'נתוני זיהוי זאבים (2)'!$Q44</f>
        <v>7</v>
      </c>
      <c r="S44" s="3" t="s">
        <v>323</v>
      </c>
      <c r="T44" s="3" t="s">
        <v>324</v>
      </c>
      <c r="U44" s="3" t="s">
        <v>138</v>
      </c>
      <c r="V44" s="3" t="s">
        <v>40</v>
      </c>
      <c r="W44" s="3" t="s">
        <v>325</v>
      </c>
      <c r="X44" s="3" t="s">
        <v>147</v>
      </c>
      <c r="Y44" s="3" t="s">
        <v>74</v>
      </c>
      <c r="Z44" s="3" t="s">
        <v>87</v>
      </c>
      <c r="AA44" s="3" t="s">
        <v>139</v>
      </c>
      <c r="AB44" s="3" t="s">
        <v>63</v>
      </c>
    </row>
    <row r="45" ht="14.25" customHeight="1">
      <c r="A45" s="17" t="s">
        <v>326</v>
      </c>
      <c r="B45" s="17"/>
      <c r="C45" s="18" t="s">
        <v>255</v>
      </c>
      <c r="D45" s="18" t="s">
        <v>255</v>
      </c>
      <c r="E45" s="17" t="s">
        <v>68</v>
      </c>
      <c r="F45" s="18" t="s">
        <v>327</v>
      </c>
      <c r="G45" s="19" t="s">
        <v>32</v>
      </c>
      <c r="H45" s="19"/>
      <c r="I45" s="31" t="s">
        <v>328</v>
      </c>
      <c r="J45" s="31" t="s">
        <v>257</v>
      </c>
      <c r="K45" s="19" t="s">
        <v>234</v>
      </c>
      <c r="L45" s="19" t="s">
        <v>329</v>
      </c>
      <c r="M45" s="18"/>
      <c r="N45" s="18"/>
      <c r="O45" s="18"/>
      <c r="P45" s="18"/>
      <c r="Q45" s="18"/>
      <c r="R45" s="18">
        <f>'נתוני זיהוי זאבים (2)'!$N45+'נתוני זיהוי זאבים (2)'!$O45+'נתוני זיהוי זאבים (2)'!$P45+'נתוני זיהוי זאבים (2)'!$Q45</f>
        <v>0</v>
      </c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21"/>
      <c r="AD45" s="21"/>
      <c r="AE45" s="21"/>
      <c r="AF45" s="21"/>
    </row>
    <row r="46" ht="14.25" customHeight="1">
      <c r="A46" s="1" t="s">
        <v>330</v>
      </c>
      <c r="B46" s="1"/>
      <c r="C46" s="2" t="s">
        <v>255</v>
      </c>
      <c r="D46" s="2" t="s">
        <v>255</v>
      </c>
      <c r="E46" s="1"/>
      <c r="F46" s="2" t="s">
        <v>331</v>
      </c>
      <c r="G46" s="3" t="s">
        <v>32</v>
      </c>
      <c r="H46" s="3"/>
      <c r="I46" s="25" t="s">
        <v>328</v>
      </c>
      <c r="J46" s="25" t="s">
        <v>257</v>
      </c>
      <c r="K46" s="3" t="s">
        <v>332</v>
      </c>
      <c r="L46" s="3" t="s">
        <v>333</v>
      </c>
      <c r="M46" s="2">
        <v>1.0</v>
      </c>
      <c r="N46" s="2">
        <v>0.0</v>
      </c>
      <c r="O46" s="2">
        <v>0.0</v>
      </c>
      <c r="P46" s="2">
        <v>2.0</v>
      </c>
      <c r="Q46" s="2">
        <v>0.0</v>
      </c>
      <c r="R46" s="2">
        <f>'נתוני זיהוי זאבים (2)'!$N46+'נתוני זיהוי זאבים (2)'!$O46+'נתוני זיהוי זאבים (2)'!$P46+'נתוני זיהוי זאבים (2)'!$Q46</f>
        <v>2</v>
      </c>
      <c r="S46" s="3" t="s">
        <v>334</v>
      </c>
      <c r="T46" s="3" t="s">
        <v>208</v>
      </c>
      <c r="U46" s="3" t="s">
        <v>335</v>
      </c>
      <c r="V46" s="3" t="s">
        <v>336</v>
      </c>
      <c r="W46" s="3" t="s">
        <v>336</v>
      </c>
      <c r="X46" s="3" t="s">
        <v>337</v>
      </c>
      <c r="Y46" s="3" t="s">
        <v>39</v>
      </c>
      <c r="Z46" s="3" t="s">
        <v>39</v>
      </c>
      <c r="AA46" s="3" t="s">
        <v>338</v>
      </c>
      <c r="AB46" s="3" t="s">
        <v>39</v>
      </c>
      <c r="AC46" s="32"/>
      <c r="AD46" s="32"/>
      <c r="AE46" s="32"/>
      <c r="AF46" s="32"/>
    </row>
    <row r="47" ht="14.25" customHeight="1">
      <c r="A47" s="1" t="s">
        <v>339</v>
      </c>
      <c r="B47" s="1"/>
      <c r="C47" s="2" t="s">
        <v>255</v>
      </c>
      <c r="D47" s="2" t="s">
        <v>255</v>
      </c>
      <c r="E47" s="1" t="s">
        <v>31</v>
      </c>
      <c r="F47" s="2">
        <v>9.0</v>
      </c>
      <c r="G47" s="3" t="s">
        <v>32</v>
      </c>
      <c r="H47" s="3"/>
      <c r="I47" s="25" t="s">
        <v>328</v>
      </c>
      <c r="J47" s="25" t="s">
        <v>257</v>
      </c>
      <c r="K47" s="3" t="s">
        <v>340</v>
      </c>
      <c r="L47" s="3" t="s">
        <v>341</v>
      </c>
      <c r="M47" s="2" t="s">
        <v>164</v>
      </c>
      <c r="N47" s="2">
        <v>2.0</v>
      </c>
      <c r="O47" s="2">
        <v>1.0</v>
      </c>
      <c r="P47" s="2">
        <v>1.0</v>
      </c>
      <c r="Q47" s="2">
        <v>1.0</v>
      </c>
      <c r="R47" s="2">
        <f>'נתוני זיהוי זאבים (2)'!$N47+'נתוני זיהוי זאבים (2)'!$O47+'נתוני זיהוי זאבים (2)'!$P47+'נתוני זיהוי זאבים (2)'!$Q47</f>
        <v>5</v>
      </c>
      <c r="S47" s="3" t="s">
        <v>342</v>
      </c>
      <c r="T47" s="3" t="s">
        <v>208</v>
      </c>
      <c r="U47" s="3" t="s">
        <v>343</v>
      </c>
      <c r="V47" s="3" t="s">
        <v>39</v>
      </c>
      <c r="W47" s="3" t="s">
        <v>39</v>
      </c>
      <c r="X47" s="3" t="s">
        <v>39</v>
      </c>
      <c r="Y47" s="3" t="s">
        <v>93</v>
      </c>
      <c r="Z47" s="3" t="s">
        <v>54</v>
      </c>
      <c r="AA47" s="3" t="s">
        <v>273</v>
      </c>
      <c r="AB47" s="3" t="s">
        <v>63</v>
      </c>
      <c r="AC47" s="32"/>
      <c r="AD47" s="32"/>
      <c r="AE47" s="32"/>
      <c r="AF47" s="32"/>
    </row>
    <row r="48" ht="14.25" customHeight="1">
      <c r="A48" s="1" t="s">
        <v>344</v>
      </c>
      <c r="B48" s="1"/>
      <c r="C48" s="2" t="s">
        <v>255</v>
      </c>
      <c r="D48" s="2" t="s">
        <v>255</v>
      </c>
      <c r="E48" s="1"/>
      <c r="F48" s="2">
        <v>9.0</v>
      </c>
      <c r="G48" s="3" t="s">
        <v>32</v>
      </c>
      <c r="H48" s="3"/>
      <c r="I48" s="33" t="s">
        <v>328</v>
      </c>
      <c r="J48" s="25" t="s">
        <v>257</v>
      </c>
      <c r="K48" s="3" t="s">
        <v>345</v>
      </c>
      <c r="L48" s="3" t="s">
        <v>346</v>
      </c>
      <c r="M48" s="2">
        <v>2.0</v>
      </c>
      <c r="N48" s="2">
        <v>2.0</v>
      </c>
      <c r="O48" s="2">
        <v>0.0</v>
      </c>
      <c r="P48" s="2">
        <v>0.0</v>
      </c>
      <c r="Q48" s="2">
        <v>0.0</v>
      </c>
      <c r="R48" s="2">
        <f>'נתוני זיהוי זאבים (2)'!$N48+'נתוני זיהוי זאבים (2)'!$O48+'נתוני זיהוי זאבים (2)'!$P48+'נתוני זיהוי זאבים (2)'!$Q48</f>
        <v>2</v>
      </c>
      <c r="S48" s="3" t="s">
        <v>347</v>
      </c>
      <c r="T48" s="3" t="s">
        <v>348</v>
      </c>
      <c r="U48" s="3" t="s">
        <v>94</v>
      </c>
      <c r="V48" s="3" t="s">
        <v>210</v>
      </c>
      <c r="W48" s="3" t="s">
        <v>295</v>
      </c>
      <c r="X48" s="3" t="s">
        <v>147</v>
      </c>
      <c r="Y48" s="3" t="s">
        <v>349</v>
      </c>
      <c r="Z48" s="3" t="s">
        <v>87</v>
      </c>
      <c r="AA48" s="3" t="s">
        <v>350</v>
      </c>
      <c r="AB48" s="3" t="s">
        <v>63</v>
      </c>
    </row>
    <row r="49" ht="14.25" customHeight="1">
      <c r="A49" s="1" t="s">
        <v>351</v>
      </c>
      <c r="B49" s="1"/>
      <c r="C49" s="2" t="s">
        <v>255</v>
      </c>
      <c r="D49" s="2" t="s">
        <v>255</v>
      </c>
      <c r="E49" s="1" t="s">
        <v>68</v>
      </c>
      <c r="F49" s="2" t="s">
        <v>352</v>
      </c>
      <c r="G49" s="3" t="s">
        <v>32</v>
      </c>
      <c r="H49" s="3"/>
      <c r="I49" s="33" t="s">
        <v>328</v>
      </c>
      <c r="J49" s="25" t="s">
        <v>257</v>
      </c>
      <c r="K49" s="3" t="s">
        <v>353</v>
      </c>
      <c r="L49" s="3" t="s">
        <v>354</v>
      </c>
      <c r="M49" s="2">
        <v>2.0</v>
      </c>
      <c r="N49" s="2">
        <v>0.0</v>
      </c>
      <c r="O49" s="2">
        <v>4.0</v>
      </c>
      <c r="P49" s="2">
        <v>0.0</v>
      </c>
      <c r="Q49" s="2">
        <v>0.0</v>
      </c>
      <c r="R49" s="2">
        <f>'נתוני זיהוי זאבים (2)'!$N49+'נתוני זיהוי זאבים (2)'!$O49+'נתוני זיהוי זאבים (2)'!$P49+'נתוני זיהוי זאבים (2)'!$Q49</f>
        <v>4</v>
      </c>
      <c r="S49" s="3" t="s">
        <v>355</v>
      </c>
      <c r="T49" s="3" t="s">
        <v>356</v>
      </c>
      <c r="U49" s="3" t="s">
        <v>357</v>
      </c>
      <c r="V49" s="3" t="s">
        <v>39</v>
      </c>
      <c r="W49" s="3" t="s">
        <v>307</v>
      </c>
      <c r="X49" s="3" t="s">
        <v>252</v>
      </c>
      <c r="Y49" s="3" t="s">
        <v>358</v>
      </c>
      <c r="Z49" s="3" t="s">
        <v>54</v>
      </c>
      <c r="AA49" s="3" t="s">
        <v>55</v>
      </c>
      <c r="AB49" s="3" t="s">
        <v>63</v>
      </c>
    </row>
    <row r="50" ht="14.25" customHeight="1">
      <c r="A50" s="1" t="s">
        <v>359</v>
      </c>
      <c r="B50" s="1"/>
      <c r="C50" s="2" t="s">
        <v>255</v>
      </c>
      <c r="D50" s="2" t="s">
        <v>255</v>
      </c>
      <c r="E50" s="1" t="s">
        <v>31</v>
      </c>
      <c r="F50" s="2" t="s">
        <v>352</v>
      </c>
      <c r="G50" s="3" t="s">
        <v>32</v>
      </c>
      <c r="H50" s="3"/>
      <c r="I50" s="33" t="s">
        <v>328</v>
      </c>
      <c r="J50" s="25" t="s">
        <v>257</v>
      </c>
      <c r="K50" s="3" t="s">
        <v>332</v>
      </c>
      <c r="L50" s="3" t="s">
        <v>333</v>
      </c>
      <c r="M50" s="2">
        <v>1.0</v>
      </c>
      <c r="N50" s="2">
        <v>0.0</v>
      </c>
      <c r="O50" s="2">
        <v>0.0</v>
      </c>
      <c r="P50" s="2">
        <v>3.0</v>
      </c>
      <c r="Q50" s="2">
        <v>0.0</v>
      </c>
      <c r="R50" s="2">
        <f>'נתוני זיהוי זאבים (2)'!$N50+'נתוני זיהוי זאבים (2)'!$O50+'נתוני זיהוי זאבים (2)'!$P50+'נתוני זיהוי זאבים (2)'!$Q50</f>
        <v>3</v>
      </c>
      <c r="S50" s="3" t="s">
        <v>360</v>
      </c>
      <c r="T50" s="3" t="s">
        <v>361</v>
      </c>
      <c r="U50" s="3" t="s">
        <v>230</v>
      </c>
      <c r="V50" s="3" t="s">
        <v>52</v>
      </c>
      <c r="W50" s="3" t="s">
        <v>125</v>
      </c>
      <c r="X50" s="3" t="s">
        <v>147</v>
      </c>
      <c r="Y50" s="3" t="s">
        <v>159</v>
      </c>
      <c r="Z50" s="3" t="s">
        <v>75</v>
      </c>
      <c r="AA50" s="3" t="s">
        <v>63</v>
      </c>
      <c r="AB50" s="3" t="s">
        <v>44</v>
      </c>
    </row>
    <row r="51" ht="14.25" customHeight="1">
      <c r="A51" s="1" t="s">
        <v>362</v>
      </c>
      <c r="B51" s="1"/>
      <c r="C51" s="2" t="s">
        <v>255</v>
      </c>
      <c r="D51" s="2" t="s">
        <v>255</v>
      </c>
      <c r="E51" s="1"/>
      <c r="F51" s="2">
        <v>9.0</v>
      </c>
      <c r="G51" s="3" t="s">
        <v>32</v>
      </c>
      <c r="H51" s="3"/>
      <c r="I51" s="33" t="s">
        <v>328</v>
      </c>
      <c r="J51" s="25" t="s">
        <v>257</v>
      </c>
      <c r="K51" s="3" t="s">
        <v>363</v>
      </c>
      <c r="L51" s="3" t="s">
        <v>333</v>
      </c>
      <c r="M51" s="2">
        <v>1.0</v>
      </c>
      <c r="N51" s="2">
        <v>0.0</v>
      </c>
      <c r="O51" s="2">
        <v>2.0</v>
      </c>
      <c r="P51" s="2">
        <v>0.0</v>
      </c>
      <c r="Q51" s="2">
        <v>1.0</v>
      </c>
      <c r="R51" s="2">
        <f>'נתוני זיהוי זאבים (2)'!$N51+'נתוני זיהוי זאבים (2)'!$O51+'נתוני זיהוי זאבים (2)'!$P51+'נתוני זיהוי זאבים (2)'!$Q51</f>
        <v>3</v>
      </c>
      <c r="S51" s="3" t="s">
        <v>364</v>
      </c>
      <c r="T51" s="3" t="s">
        <v>62</v>
      </c>
      <c r="U51" s="3" t="s">
        <v>365</v>
      </c>
      <c r="V51" s="3" t="s">
        <v>52</v>
      </c>
      <c r="W51" s="3" t="s">
        <v>307</v>
      </c>
      <c r="X51" s="3" t="s">
        <v>252</v>
      </c>
      <c r="Y51" s="3" t="s">
        <v>65</v>
      </c>
      <c r="Z51" s="3" t="s">
        <v>54</v>
      </c>
      <c r="AA51" s="3" t="s">
        <v>55</v>
      </c>
      <c r="AB51" s="3" t="s">
        <v>44</v>
      </c>
    </row>
    <row r="52" ht="14.25" customHeight="1">
      <c r="A52" s="1" t="s">
        <v>366</v>
      </c>
      <c r="B52" s="1"/>
      <c r="C52" s="2" t="s">
        <v>255</v>
      </c>
      <c r="D52" s="2" t="s">
        <v>255</v>
      </c>
      <c r="E52" s="1"/>
      <c r="F52" s="2" t="s">
        <v>352</v>
      </c>
      <c r="G52" s="3" t="s">
        <v>32</v>
      </c>
      <c r="H52" s="3"/>
      <c r="I52" s="34" t="s">
        <v>328</v>
      </c>
      <c r="J52" s="14" t="s">
        <v>257</v>
      </c>
      <c r="K52" s="3" t="s">
        <v>367</v>
      </c>
      <c r="L52" s="3" t="s">
        <v>333</v>
      </c>
      <c r="M52" s="2">
        <v>1.0</v>
      </c>
      <c r="N52" s="2">
        <v>0.0</v>
      </c>
      <c r="O52" s="2">
        <v>1.0</v>
      </c>
      <c r="P52" s="2">
        <v>1.0</v>
      </c>
      <c r="Q52" s="2">
        <v>0.0</v>
      </c>
      <c r="R52" s="2">
        <f>'נתוני זיהוי זאבים (2)'!$N52+'נתוני זיהוי זאבים (2)'!$O52+'נתוני זיהוי זאבים (2)'!$P52+'נתוני זיהוי זאבים (2)'!$Q52</f>
        <v>2</v>
      </c>
      <c r="S52" s="3" t="s">
        <v>368</v>
      </c>
      <c r="T52" s="3" t="s">
        <v>369</v>
      </c>
      <c r="U52" s="3" t="s">
        <v>124</v>
      </c>
      <c r="V52" s="3" t="s">
        <v>147</v>
      </c>
      <c r="W52" s="3" t="s">
        <v>325</v>
      </c>
      <c r="X52" s="3" t="s">
        <v>147</v>
      </c>
      <c r="Y52" s="3" t="s">
        <v>358</v>
      </c>
      <c r="Z52" s="3" t="s">
        <v>54</v>
      </c>
      <c r="AA52" s="3" t="s">
        <v>55</v>
      </c>
      <c r="AB52" s="3" t="s">
        <v>63</v>
      </c>
    </row>
    <row r="53" ht="14.25" customHeight="1">
      <c r="A53" s="1" t="s">
        <v>370</v>
      </c>
      <c r="B53" s="1"/>
      <c r="C53" s="2" t="s">
        <v>255</v>
      </c>
      <c r="D53" s="2" t="s">
        <v>255</v>
      </c>
      <c r="E53" s="1"/>
      <c r="F53" s="2">
        <v>10.0</v>
      </c>
      <c r="G53" s="3" t="s">
        <v>133</v>
      </c>
      <c r="H53" s="3"/>
      <c r="I53" s="11" t="s">
        <v>133</v>
      </c>
      <c r="J53" s="3"/>
      <c r="K53" s="3" t="s">
        <v>371</v>
      </c>
      <c r="L53" s="3" t="s">
        <v>372</v>
      </c>
      <c r="M53" s="2">
        <v>1.0</v>
      </c>
      <c r="N53" s="2">
        <v>0.0</v>
      </c>
      <c r="O53" s="2">
        <v>1.0</v>
      </c>
      <c r="P53" s="2">
        <v>1.0</v>
      </c>
      <c r="Q53" s="2">
        <v>0.0</v>
      </c>
      <c r="R53" s="2">
        <f>'נתוני זיהוי זאבים (2)'!$N53+'נתוני זיהוי זאבים (2)'!$O53+'נתוני זיהוי זאבים (2)'!$P53+'נתוני זיהוי זאבים (2)'!$Q53</f>
        <v>2</v>
      </c>
      <c r="S53" s="3" t="s">
        <v>373</v>
      </c>
      <c r="T53" s="3" t="s">
        <v>374</v>
      </c>
      <c r="U53" s="3" t="s">
        <v>375</v>
      </c>
      <c r="V53" s="3" t="s">
        <v>252</v>
      </c>
      <c r="W53" s="3" t="s">
        <v>307</v>
      </c>
      <c r="X53" s="3" t="s">
        <v>252</v>
      </c>
      <c r="Y53" s="3" t="s">
        <v>376</v>
      </c>
      <c r="Z53" s="3" t="s">
        <v>75</v>
      </c>
      <c r="AA53" s="3" t="s">
        <v>40</v>
      </c>
      <c r="AB53" s="3" t="s">
        <v>39</v>
      </c>
    </row>
    <row r="54" ht="14.25" customHeight="1">
      <c r="A54" s="1" t="s">
        <v>377</v>
      </c>
      <c r="B54" s="1"/>
      <c r="C54" s="2" t="s">
        <v>255</v>
      </c>
      <c r="D54" s="2" t="s">
        <v>255</v>
      </c>
      <c r="E54" s="1"/>
      <c r="F54" s="2">
        <v>10.0</v>
      </c>
      <c r="G54" s="3" t="s">
        <v>46</v>
      </c>
      <c r="H54" s="3"/>
      <c r="I54" s="35" t="s">
        <v>319</v>
      </c>
      <c r="J54" s="3" t="s">
        <v>378</v>
      </c>
      <c r="K54" s="3"/>
      <c r="L54" s="3" t="s">
        <v>379</v>
      </c>
      <c r="M54" s="2">
        <v>1.0</v>
      </c>
      <c r="N54" s="2">
        <v>1.0</v>
      </c>
      <c r="O54" s="2">
        <v>0.0</v>
      </c>
      <c r="P54" s="2">
        <v>2.0</v>
      </c>
      <c r="Q54" s="2">
        <v>0.0</v>
      </c>
      <c r="R54" s="2">
        <f>'נתוני זיהוי זאבים (2)'!$N54+'נתוני זיהוי זאבים (2)'!$O54+'נתוני זיהוי זאבים (2)'!$P54+'נתוני זיהוי זאבים (2)'!$Q54</f>
        <v>3</v>
      </c>
      <c r="S54" s="3" t="s">
        <v>380</v>
      </c>
      <c r="T54" s="3" t="s">
        <v>117</v>
      </c>
      <c r="U54" s="3" t="s">
        <v>118</v>
      </c>
      <c r="V54" s="3" t="s">
        <v>155</v>
      </c>
      <c r="W54" s="3" t="s">
        <v>381</v>
      </c>
      <c r="X54" s="3" t="s">
        <v>155</v>
      </c>
      <c r="Y54" s="3" t="s">
        <v>148</v>
      </c>
      <c r="Z54" s="3" t="s">
        <v>44</v>
      </c>
      <c r="AA54" s="3" t="s">
        <v>382</v>
      </c>
      <c r="AB54" s="3" t="s">
        <v>44</v>
      </c>
    </row>
    <row r="55" ht="14.25" customHeight="1">
      <c r="A55" s="1" t="s">
        <v>383</v>
      </c>
      <c r="B55" s="1"/>
      <c r="C55" s="2" t="s">
        <v>255</v>
      </c>
      <c r="D55" s="2" t="s">
        <v>255</v>
      </c>
      <c r="E55" s="1" t="s">
        <v>68</v>
      </c>
      <c r="F55" s="2" t="s">
        <v>384</v>
      </c>
      <c r="G55" s="3" t="s">
        <v>46</v>
      </c>
      <c r="H55" s="3"/>
      <c r="I55" s="36" t="s">
        <v>319</v>
      </c>
      <c r="J55" s="3" t="s">
        <v>385</v>
      </c>
      <c r="K55" s="3"/>
      <c r="L55" s="3" t="s">
        <v>386</v>
      </c>
      <c r="M55" s="2">
        <v>1.0</v>
      </c>
      <c r="N55" s="2">
        <v>0.0</v>
      </c>
      <c r="O55" s="2">
        <v>0.0</v>
      </c>
      <c r="P55" s="2">
        <v>3.0</v>
      </c>
      <c r="Q55" s="2">
        <v>0.0</v>
      </c>
      <c r="R55" s="2">
        <f>'נתוני זיהוי זאבים (2)'!$N55+'נתוני זיהוי זאבים (2)'!$O55+'נתוני זיהוי זאבים (2)'!$P55+'נתוני זיהוי זאבים (2)'!$Q55</f>
        <v>3</v>
      </c>
      <c r="S55" s="3" t="s">
        <v>387</v>
      </c>
      <c r="T55" s="3" t="s">
        <v>388</v>
      </c>
      <c r="U55" s="3" t="s">
        <v>39</v>
      </c>
      <c r="V55" s="3" t="s">
        <v>210</v>
      </c>
      <c r="W55" s="3" t="s">
        <v>325</v>
      </c>
      <c r="X55" s="3" t="s">
        <v>210</v>
      </c>
      <c r="Y55" s="3" t="s">
        <v>349</v>
      </c>
      <c r="Z55" s="3" t="s">
        <v>54</v>
      </c>
      <c r="AA55" s="3" t="s">
        <v>39</v>
      </c>
      <c r="AB55" s="3" t="s">
        <v>39</v>
      </c>
    </row>
    <row r="56" ht="14.25" customHeight="1">
      <c r="A56" s="37" t="s">
        <v>389</v>
      </c>
      <c r="B56" s="38"/>
      <c r="C56" s="2" t="s">
        <v>255</v>
      </c>
      <c r="D56" s="2" t="s">
        <v>255</v>
      </c>
      <c r="E56" s="38"/>
      <c r="F56" s="39">
        <v>7.0</v>
      </c>
      <c r="G56" s="40"/>
      <c r="H56" s="41"/>
      <c r="I56" s="42"/>
      <c r="J56" s="43"/>
      <c r="K56" s="44"/>
      <c r="L56" s="45" t="s">
        <v>390</v>
      </c>
      <c r="M56" s="46">
        <v>1.0</v>
      </c>
      <c r="N56" s="47">
        <v>0.0</v>
      </c>
      <c r="O56" s="47">
        <v>2.0</v>
      </c>
      <c r="P56" s="47">
        <v>0.0</v>
      </c>
      <c r="Q56" s="47">
        <v>0.0</v>
      </c>
      <c r="R56" s="48">
        <f>'נתוני זיהוי זאבים (2)'!$N56+'נתוני זיהוי זאבים (2)'!$O56+'נתוני זיהוי זאבים (2)'!$P56+'נתוני זיהוי זאבים (2)'!$Q56</f>
        <v>2</v>
      </c>
      <c r="S56" s="40" t="s">
        <v>391</v>
      </c>
      <c r="T56" s="40" t="s">
        <v>392</v>
      </c>
      <c r="U56" s="40" t="s">
        <v>118</v>
      </c>
      <c r="V56" s="40" t="s">
        <v>39</v>
      </c>
      <c r="W56" s="40" t="s">
        <v>325</v>
      </c>
      <c r="X56" s="40" t="s">
        <v>325</v>
      </c>
      <c r="Y56" s="40" t="s">
        <v>103</v>
      </c>
      <c r="Z56" s="40" t="s">
        <v>42</v>
      </c>
      <c r="AA56" s="40" t="s">
        <v>211</v>
      </c>
      <c r="AB56" s="40" t="s">
        <v>85</v>
      </c>
      <c r="AC56" s="49"/>
      <c r="AD56" s="49"/>
      <c r="AE56" s="49"/>
      <c r="AF56" s="49"/>
    </row>
    <row r="57" ht="14.25" customHeight="1">
      <c r="A57" s="50" t="s">
        <v>393</v>
      </c>
      <c r="B57" s="51"/>
      <c r="C57" s="2" t="s">
        <v>394</v>
      </c>
      <c r="D57" s="2" t="s">
        <v>394</v>
      </c>
      <c r="E57" s="51"/>
      <c r="F57" s="52">
        <v>17.0</v>
      </c>
      <c r="G57" s="40" t="s">
        <v>32</v>
      </c>
      <c r="H57" s="53"/>
      <c r="I57" s="54" t="s">
        <v>395</v>
      </c>
      <c r="J57" s="55" t="s">
        <v>396</v>
      </c>
      <c r="K57" s="53"/>
      <c r="L57" s="56" t="s">
        <v>372</v>
      </c>
      <c r="M57" s="57">
        <v>1.0</v>
      </c>
      <c r="N57" s="58">
        <v>1.0</v>
      </c>
      <c r="O57" s="58">
        <v>0.0</v>
      </c>
      <c r="P57" s="58">
        <v>2.0</v>
      </c>
      <c r="Q57" s="58">
        <v>0.0</v>
      </c>
      <c r="R57" s="52">
        <v>3.0</v>
      </c>
      <c r="S57" s="59" t="s">
        <v>397</v>
      </c>
      <c r="T57" s="59" t="s">
        <v>398</v>
      </c>
      <c r="U57" s="59" t="s">
        <v>118</v>
      </c>
      <c r="V57" s="59" t="s">
        <v>39</v>
      </c>
      <c r="W57" s="59" t="s">
        <v>295</v>
      </c>
      <c r="X57" s="59" t="s">
        <v>210</v>
      </c>
      <c r="Y57" s="59" t="s">
        <v>399</v>
      </c>
      <c r="Z57" s="59" t="s">
        <v>42</v>
      </c>
      <c r="AA57" s="59" t="s">
        <v>85</v>
      </c>
      <c r="AB57" s="59" t="s">
        <v>63</v>
      </c>
      <c r="AC57" s="60"/>
      <c r="AD57" s="60"/>
      <c r="AE57" s="60"/>
      <c r="AF57" s="60"/>
    </row>
    <row r="58" ht="14.25" customHeight="1">
      <c r="A58" s="1" t="s">
        <v>396</v>
      </c>
      <c r="B58" s="1"/>
      <c r="C58" s="2" t="s">
        <v>394</v>
      </c>
      <c r="D58" s="2" t="s">
        <v>394</v>
      </c>
      <c r="E58" s="1" t="s">
        <v>31</v>
      </c>
      <c r="F58" s="2" t="s">
        <v>400</v>
      </c>
      <c r="G58" s="3" t="s">
        <v>32</v>
      </c>
      <c r="H58" s="3"/>
      <c r="I58" s="25" t="s">
        <v>395</v>
      </c>
      <c r="J58" s="61" t="s">
        <v>401</v>
      </c>
      <c r="K58" s="3" t="s">
        <v>402</v>
      </c>
      <c r="L58" s="3" t="s">
        <v>403</v>
      </c>
      <c r="M58" s="2">
        <v>2.0</v>
      </c>
      <c r="N58" s="2">
        <v>4.0</v>
      </c>
      <c r="O58" s="2">
        <v>0.0</v>
      </c>
      <c r="P58" s="2">
        <v>2.0</v>
      </c>
      <c r="Q58" s="2">
        <v>0.0</v>
      </c>
      <c r="R58" s="2">
        <f>'נתוני זיהוי זאבים (2)'!$N58+'נתוני זיהוי זאבים (2)'!$O58+'נתוני זיהוי זאבים (2)'!$P58+'נתוני זיהוי זאבים (2)'!$Q58</f>
        <v>6</v>
      </c>
      <c r="S58" s="3" t="s">
        <v>404</v>
      </c>
      <c r="T58" s="3" t="s">
        <v>166</v>
      </c>
      <c r="U58" s="3" t="s">
        <v>51</v>
      </c>
      <c r="V58" s="3" t="s">
        <v>147</v>
      </c>
      <c r="W58" s="3" t="s">
        <v>295</v>
      </c>
      <c r="X58" s="3" t="s">
        <v>147</v>
      </c>
      <c r="Y58" s="3" t="s">
        <v>95</v>
      </c>
      <c r="Z58" s="3" t="s">
        <v>75</v>
      </c>
      <c r="AA58" s="3" t="s">
        <v>96</v>
      </c>
      <c r="AB58" s="3" t="s">
        <v>85</v>
      </c>
    </row>
    <row r="59" ht="14.25" customHeight="1">
      <c r="A59" s="1" t="s">
        <v>405</v>
      </c>
      <c r="B59" s="1"/>
      <c r="C59" s="2" t="s">
        <v>394</v>
      </c>
      <c r="D59" s="2" t="s">
        <v>394</v>
      </c>
      <c r="E59" s="1"/>
      <c r="F59" s="2">
        <v>17.0</v>
      </c>
      <c r="G59" s="3" t="s">
        <v>32</v>
      </c>
      <c r="H59" s="3"/>
      <c r="I59" s="62" t="s">
        <v>395</v>
      </c>
      <c r="J59" s="3" t="s">
        <v>406</v>
      </c>
      <c r="K59" s="3" t="s">
        <v>407</v>
      </c>
      <c r="L59" s="3" t="s">
        <v>408</v>
      </c>
      <c r="M59" s="2">
        <v>1.0</v>
      </c>
      <c r="N59" s="2">
        <v>1.0</v>
      </c>
      <c r="O59" s="2">
        <v>0.0</v>
      </c>
      <c r="P59" s="2">
        <v>0.0</v>
      </c>
      <c r="Q59" s="2">
        <v>2.0</v>
      </c>
      <c r="R59" s="2">
        <f>'נתוני זיהוי זאבים (2)'!$N59+'נתוני זיהוי זאבים (2)'!$O59+'נתוני זיהוי זאבים (2)'!$P59+'נתוני זיהוי זאבים (2)'!$Q59</f>
        <v>3</v>
      </c>
      <c r="S59" s="3" t="s">
        <v>409</v>
      </c>
      <c r="T59" s="3" t="s">
        <v>410</v>
      </c>
      <c r="U59" s="3" t="s">
        <v>94</v>
      </c>
      <c r="V59" s="3" t="s">
        <v>39</v>
      </c>
      <c r="W59" s="3" t="s">
        <v>39</v>
      </c>
      <c r="X59" s="3" t="s">
        <v>39</v>
      </c>
      <c r="Y59" s="3" t="s">
        <v>349</v>
      </c>
      <c r="Z59" s="3" t="s">
        <v>75</v>
      </c>
      <c r="AA59" s="3" t="s">
        <v>85</v>
      </c>
      <c r="AB59" s="3" t="s">
        <v>44</v>
      </c>
    </row>
    <row r="60" ht="14.25" customHeight="1">
      <c r="A60" s="1" t="s">
        <v>411</v>
      </c>
      <c r="B60" s="1"/>
      <c r="C60" s="2" t="s">
        <v>394</v>
      </c>
      <c r="D60" s="2" t="s">
        <v>394</v>
      </c>
      <c r="E60" s="1"/>
      <c r="F60" s="2">
        <v>17.0</v>
      </c>
      <c r="G60" s="3" t="s">
        <v>57</v>
      </c>
      <c r="H60" s="3"/>
      <c r="I60" s="62" t="s">
        <v>201</v>
      </c>
      <c r="J60" s="3"/>
      <c r="K60" s="3"/>
      <c r="L60" s="3" t="s">
        <v>412</v>
      </c>
      <c r="M60" s="2">
        <v>2.0</v>
      </c>
      <c r="N60" s="2">
        <v>0.0</v>
      </c>
      <c r="O60" s="2">
        <v>3.0</v>
      </c>
      <c r="P60" s="2">
        <v>3.0</v>
      </c>
      <c r="Q60" s="2">
        <v>0.0</v>
      </c>
      <c r="R60" s="2">
        <f>'נתוני זיהוי זאבים (2)'!$N60+'נתוני זיהוי זאבים (2)'!$O60+'נתוני זיהוי זאבים (2)'!$P60+'נתוני זיהוי זאבים (2)'!$Q60</f>
        <v>6</v>
      </c>
      <c r="S60" s="3" t="s">
        <v>413</v>
      </c>
      <c r="T60" s="3" t="s">
        <v>414</v>
      </c>
      <c r="U60" s="3" t="s">
        <v>415</v>
      </c>
      <c r="V60" s="3" t="s">
        <v>147</v>
      </c>
      <c r="W60" s="3" t="s">
        <v>295</v>
      </c>
      <c r="X60" s="3" t="s">
        <v>147</v>
      </c>
      <c r="Y60" s="3" t="s">
        <v>95</v>
      </c>
      <c r="Z60" s="3" t="s">
        <v>44</v>
      </c>
      <c r="AA60" s="3" t="s">
        <v>211</v>
      </c>
      <c r="AB60" s="3" t="s">
        <v>44</v>
      </c>
    </row>
    <row r="61" ht="14.25" customHeight="1">
      <c r="A61" s="1" t="s">
        <v>416</v>
      </c>
      <c r="B61" s="1"/>
      <c r="C61" s="2" t="s">
        <v>394</v>
      </c>
      <c r="D61" s="2" t="s">
        <v>394</v>
      </c>
      <c r="E61" s="1" t="s">
        <v>68</v>
      </c>
      <c r="F61" s="2">
        <v>17.0</v>
      </c>
      <c r="G61" s="3" t="s">
        <v>32</v>
      </c>
      <c r="H61" s="3"/>
      <c r="I61" s="63" t="s">
        <v>395</v>
      </c>
      <c r="J61" s="61" t="s">
        <v>417</v>
      </c>
      <c r="K61" s="3" t="s">
        <v>418</v>
      </c>
      <c r="L61" s="3" t="s">
        <v>206</v>
      </c>
      <c r="M61" s="2">
        <v>1.0</v>
      </c>
      <c r="N61" s="2">
        <v>0.0</v>
      </c>
      <c r="O61" s="2">
        <v>2.0</v>
      </c>
      <c r="P61" s="2">
        <v>2.0</v>
      </c>
      <c r="Q61" s="2">
        <v>1.0</v>
      </c>
      <c r="R61" s="2">
        <f>'נתוני זיהוי זאבים (2)'!$N61+'נתוני זיהוי זאבים (2)'!$O61+'נתוני זיהוי זאבים (2)'!$P61+'נתוני זיהוי זאבים (2)'!$Q61</f>
        <v>5</v>
      </c>
      <c r="S61" s="3" t="s">
        <v>419</v>
      </c>
      <c r="T61" s="3" t="s">
        <v>414</v>
      </c>
      <c r="U61" s="3" t="s">
        <v>94</v>
      </c>
      <c r="V61" s="3" t="s">
        <v>210</v>
      </c>
      <c r="W61" s="3" t="s">
        <v>325</v>
      </c>
      <c r="X61" s="3" t="s">
        <v>147</v>
      </c>
      <c r="Y61" s="3" t="s">
        <v>410</v>
      </c>
      <c r="Z61" s="3" t="s">
        <v>75</v>
      </c>
      <c r="AA61" s="3" t="s">
        <v>39</v>
      </c>
      <c r="AB61" s="3" t="s">
        <v>39</v>
      </c>
    </row>
    <row r="62" ht="14.25" customHeight="1">
      <c r="A62" s="1" t="s">
        <v>420</v>
      </c>
      <c r="B62" s="1"/>
      <c r="C62" s="2" t="s">
        <v>394</v>
      </c>
      <c r="D62" s="2" t="s">
        <v>394</v>
      </c>
      <c r="E62" s="1" t="s">
        <v>68</v>
      </c>
      <c r="F62" s="2">
        <v>17.0</v>
      </c>
      <c r="G62" s="3" t="s">
        <v>32</v>
      </c>
      <c r="H62" s="3"/>
      <c r="I62" s="62" t="s">
        <v>395</v>
      </c>
      <c r="J62" s="61" t="s">
        <v>421</v>
      </c>
      <c r="K62" s="3"/>
      <c r="L62" s="3" t="s">
        <v>422</v>
      </c>
      <c r="M62" s="2">
        <v>2.0</v>
      </c>
      <c r="N62" s="2">
        <v>0.0</v>
      </c>
      <c r="O62" s="2">
        <v>3.0</v>
      </c>
      <c r="P62" s="2">
        <v>2.0</v>
      </c>
      <c r="Q62" s="2">
        <v>0.0</v>
      </c>
      <c r="R62" s="2">
        <f>'נתוני זיהוי זאבים (2)'!$N62+'נתוני זיהוי זאבים (2)'!$O62+'נתוני זיהוי זאבים (2)'!$P62+'נתוני זיהוי זאבים (2)'!$Q62</f>
        <v>5</v>
      </c>
      <c r="S62" s="3" t="s">
        <v>423</v>
      </c>
      <c r="T62" s="3" t="s">
        <v>208</v>
      </c>
      <c r="U62" s="3" t="s">
        <v>209</v>
      </c>
      <c r="V62" s="3" t="s">
        <v>52</v>
      </c>
      <c r="W62" s="3" t="s">
        <v>325</v>
      </c>
      <c r="X62" s="3" t="s">
        <v>210</v>
      </c>
      <c r="Y62" s="3" t="s">
        <v>159</v>
      </c>
      <c r="Z62" s="3" t="s">
        <v>87</v>
      </c>
      <c r="AA62" s="3" t="s">
        <v>55</v>
      </c>
      <c r="AB62" s="3" t="s">
        <v>63</v>
      </c>
    </row>
    <row r="63" ht="14.25" customHeight="1">
      <c r="A63" s="1" t="s">
        <v>424</v>
      </c>
      <c r="B63" s="1"/>
      <c r="C63" s="2" t="s">
        <v>394</v>
      </c>
      <c r="D63" s="2" t="s">
        <v>394</v>
      </c>
      <c r="E63" s="1"/>
      <c r="F63" s="2">
        <v>17.0</v>
      </c>
      <c r="G63" s="3" t="s">
        <v>57</v>
      </c>
      <c r="H63" s="3"/>
      <c r="I63" s="62" t="s">
        <v>201</v>
      </c>
      <c r="J63" s="3"/>
      <c r="K63" s="3" t="s">
        <v>425</v>
      </c>
      <c r="L63" s="3" t="s">
        <v>426</v>
      </c>
      <c r="M63" s="2">
        <v>1.0</v>
      </c>
      <c r="N63" s="2">
        <v>3.0</v>
      </c>
      <c r="O63" s="2">
        <v>0.0</v>
      </c>
      <c r="P63" s="2">
        <v>1.0</v>
      </c>
      <c r="Q63" s="2">
        <v>0.0</v>
      </c>
      <c r="R63" s="2">
        <f>'נתוני זיהוי זאבים (2)'!$N63+'נתוני זיהוי זאבים (2)'!$O63+'נתוני זיהוי זאבים (2)'!$P63+'נתוני זיהוי זאבים (2)'!$Q63</f>
        <v>4</v>
      </c>
      <c r="S63" s="3" t="s">
        <v>427</v>
      </c>
      <c r="T63" s="3" t="s">
        <v>428</v>
      </c>
      <c r="U63" s="3" t="s">
        <v>185</v>
      </c>
      <c r="V63" s="3" t="s">
        <v>52</v>
      </c>
      <c r="W63" s="3" t="s">
        <v>125</v>
      </c>
      <c r="X63" s="3" t="s">
        <v>125</v>
      </c>
      <c r="Y63" s="3" t="s">
        <v>159</v>
      </c>
      <c r="Z63" s="3" t="s">
        <v>75</v>
      </c>
      <c r="AA63" s="3" t="s">
        <v>96</v>
      </c>
      <c r="AB63" s="3" t="s">
        <v>63</v>
      </c>
    </row>
    <row r="64" ht="14.25" customHeight="1">
      <c r="A64" s="64" t="s">
        <v>429</v>
      </c>
      <c r="B64" s="64"/>
      <c r="C64" s="65" t="s">
        <v>394</v>
      </c>
      <c r="D64" s="65" t="s">
        <v>394</v>
      </c>
      <c r="E64" s="64"/>
      <c r="F64" s="65">
        <v>20.0</v>
      </c>
      <c r="G64" s="66" t="s">
        <v>46</v>
      </c>
      <c r="H64" s="66"/>
      <c r="I64" s="35" t="s">
        <v>430</v>
      </c>
      <c r="J64" s="67" t="s">
        <v>257</v>
      </c>
      <c r="K64" s="66"/>
      <c r="L64" s="66" t="s">
        <v>431</v>
      </c>
      <c r="M64" s="65">
        <v>1.0</v>
      </c>
      <c r="N64" s="65">
        <v>1.0</v>
      </c>
      <c r="O64" s="65">
        <v>0.0</v>
      </c>
      <c r="P64" s="65">
        <v>0.0</v>
      </c>
      <c r="Q64" s="65">
        <v>0.0</v>
      </c>
      <c r="R64" s="65">
        <f>'נתוני זיהוי זאבים (2)'!$N64+'נתוני זיהוי זאבים (2)'!$O64+'נתוני זיהוי זאבים (2)'!$P64+'נתוני זיהוי זאבים (2)'!$Q64</f>
        <v>1</v>
      </c>
      <c r="S64" s="66" t="s">
        <v>432</v>
      </c>
      <c r="T64" s="66" t="s">
        <v>313</v>
      </c>
      <c r="U64" s="66" t="s">
        <v>39</v>
      </c>
      <c r="V64" s="66" t="s">
        <v>39</v>
      </c>
      <c r="W64" s="66" t="s">
        <v>39</v>
      </c>
      <c r="X64" s="66" t="s">
        <v>39</v>
      </c>
      <c r="Y64" s="66" t="s">
        <v>39</v>
      </c>
      <c r="Z64" s="66" t="s">
        <v>39</v>
      </c>
      <c r="AA64" s="66" t="s">
        <v>63</v>
      </c>
      <c r="AB64" s="66" t="s">
        <v>85</v>
      </c>
      <c r="AC64" s="68"/>
      <c r="AD64" s="68"/>
      <c r="AE64" s="68"/>
      <c r="AF64" s="68"/>
    </row>
    <row r="65" ht="14.25" customHeight="1">
      <c r="A65" s="1" t="s">
        <v>433</v>
      </c>
      <c r="B65" s="1"/>
      <c r="C65" s="2" t="s">
        <v>394</v>
      </c>
      <c r="D65" s="2" t="s">
        <v>394</v>
      </c>
      <c r="E65" s="1"/>
      <c r="F65" s="2">
        <v>20.0</v>
      </c>
      <c r="G65" s="3" t="s">
        <v>57</v>
      </c>
      <c r="H65" s="3"/>
      <c r="I65" s="69" t="s">
        <v>434</v>
      </c>
      <c r="J65" s="70" t="s">
        <v>435</v>
      </c>
      <c r="K65" s="3" t="s">
        <v>436</v>
      </c>
      <c r="L65" s="3" t="s">
        <v>437</v>
      </c>
      <c r="M65" s="2">
        <v>2.0</v>
      </c>
      <c r="N65" s="2">
        <v>0.0</v>
      </c>
      <c r="O65" s="2">
        <v>3.0</v>
      </c>
      <c r="P65" s="2">
        <v>3.0</v>
      </c>
      <c r="Q65" s="2">
        <v>0.0</v>
      </c>
      <c r="R65" s="2">
        <f>'נתוני זיהוי זאבים (2)'!$N65+'נתוני זיהוי זאבים (2)'!$O65+'נתוני זיהוי זאבים (2)'!$P65+'נתוני זיהוי זאבים (2)'!$Q65</f>
        <v>6</v>
      </c>
      <c r="S65" s="3" t="s">
        <v>438</v>
      </c>
      <c r="T65" s="3" t="s">
        <v>439</v>
      </c>
      <c r="U65" s="3" t="s">
        <v>102</v>
      </c>
      <c r="V65" s="3" t="s">
        <v>39</v>
      </c>
      <c r="W65" s="3" t="s">
        <v>224</v>
      </c>
      <c r="X65" s="3" t="s">
        <v>252</v>
      </c>
      <c r="Y65" s="3" t="s">
        <v>194</v>
      </c>
      <c r="Z65" s="3" t="s">
        <v>42</v>
      </c>
      <c r="AA65" s="3" t="s">
        <v>55</v>
      </c>
      <c r="AB65" s="3" t="s">
        <v>44</v>
      </c>
    </row>
    <row r="66" ht="14.25" customHeight="1">
      <c r="A66" s="1" t="s">
        <v>440</v>
      </c>
      <c r="B66" s="1"/>
      <c r="C66" s="2" t="s">
        <v>394</v>
      </c>
      <c r="D66" s="2" t="s">
        <v>394</v>
      </c>
      <c r="E66" s="1"/>
      <c r="F66" s="2">
        <v>19.0</v>
      </c>
      <c r="G66" s="3" t="s">
        <v>133</v>
      </c>
      <c r="H66" s="3"/>
      <c r="I66" s="71" t="s">
        <v>133</v>
      </c>
      <c r="J66" s="3"/>
      <c r="K66" s="3"/>
      <c r="L66" s="3" t="s">
        <v>441</v>
      </c>
      <c r="M66" s="2">
        <v>1.0</v>
      </c>
      <c r="N66" s="2">
        <v>0.0</v>
      </c>
      <c r="O66" s="2">
        <v>3.0</v>
      </c>
      <c r="P66" s="2">
        <v>0.0</v>
      </c>
      <c r="Q66" s="2">
        <v>1.0</v>
      </c>
      <c r="R66" s="2">
        <f>'נתוני זיהוי זאבים (2)'!$N66+'נתוני זיהוי זאבים (2)'!$O66+'נתוני זיהוי זאבים (2)'!$P66+'נתוני זיהוי זאבים (2)'!$Q66</f>
        <v>4</v>
      </c>
      <c r="S66" s="3" t="s">
        <v>442</v>
      </c>
      <c r="T66" s="3" t="s">
        <v>277</v>
      </c>
      <c r="U66" s="3" t="s">
        <v>242</v>
      </c>
      <c r="V66" s="3" t="s">
        <v>39</v>
      </c>
      <c r="W66" s="3" t="s">
        <v>39</v>
      </c>
      <c r="X66" s="3" t="s">
        <v>39</v>
      </c>
      <c r="Y66" s="3" t="s">
        <v>41</v>
      </c>
      <c r="Z66" s="3" t="s">
        <v>39</v>
      </c>
      <c r="AA66" s="3" t="s">
        <v>443</v>
      </c>
      <c r="AB66" s="3" t="s">
        <v>39</v>
      </c>
    </row>
    <row r="67" ht="14.25" customHeight="1">
      <c r="A67" s="1" t="s">
        <v>444</v>
      </c>
      <c r="B67" s="1"/>
      <c r="C67" s="2" t="s">
        <v>445</v>
      </c>
      <c r="D67" s="2" t="s">
        <v>445</v>
      </c>
      <c r="E67" s="1"/>
      <c r="F67" s="2" t="s">
        <v>446</v>
      </c>
      <c r="G67" s="3" t="s">
        <v>57</v>
      </c>
      <c r="H67" s="3"/>
      <c r="I67" s="72" t="s">
        <v>447</v>
      </c>
      <c r="J67" s="73" t="s">
        <v>201</v>
      </c>
      <c r="K67" s="3" t="s">
        <v>448</v>
      </c>
      <c r="L67" s="3" t="s">
        <v>449</v>
      </c>
      <c r="M67" s="2">
        <v>1.0</v>
      </c>
      <c r="N67" s="2">
        <v>0.0</v>
      </c>
      <c r="O67" s="2">
        <v>1.0</v>
      </c>
      <c r="P67" s="2">
        <v>0.0</v>
      </c>
      <c r="Q67" s="2">
        <v>0.0</v>
      </c>
      <c r="R67" s="2">
        <f>'נתוני זיהוי זאבים (2)'!$N67+'נתוני זיהוי זאבים (2)'!$O67+'נתוני זיהוי זאבים (2)'!$P67+'נתוני זיהוי זאבים (2)'!$Q67</f>
        <v>1</v>
      </c>
      <c r="S67" s="3" t="s">
        <v>450</v>
      </c>
      <c r="T67" s="3" t="s">
        <v>451</v>
      </c>
      <c r="U67" s="3" t="s">
        <v>343</v>
      </c>
      <c r="V67" s="3" t="s">
        <v>39</v>
      </c>
      <c r="W67" s="3" t="s">
        <v>39</v>
      </c>
      <c r="X67" s="3" t="s">
        <v>39</v>
      </c>
      <c r="Y67" s="3" t="s">
        <v>452</v>
      </c>
      <c r="Z67" s="3" t="s">
        <v>42</v>
      </c>
      <c r="AA67" s="3" t="s">
        <v>453</v>
      </c>
      <c r="AB67" s="3" t="s">
        <v>63</v>
      </c>
    </row>
    <row r="68" ht="14.25" customHeight="1">
      <c r="A68" s="1" t="s">
        <v>454</v>
      </c>
      <c r="B68" s="1"/>
      <c r="C68" s="2" t="s">
        <v>445</v>
      </c>
      <c r="D68" s="2" t="s">
        <v>445</v>
      </c>
      <c r="E68" s="1"/>
      <c r="F68" s="2" t="s">
        <v>446</v>
      </c>
      <c r="G68" s="3" t="s">
        <v>57</v>
      </c>
      <c r="H68" s="3"/>
      <c r="I68" s="74" t="s">
        <v>447</v>
      </c>
      <c r="J68" s="3"/>
      <c r="K68" s="3"/>
      <c r="L68" s="3" t="s">
        <v>449</v>
      </c>
      <c r="M68" s="2">
        <v>1.0</v>
      </c>
      <c r="N68" s="2">
        <v>1.0</v>
      </c>
      <c r="O68" s="2">
        <v>0.0</v>
      </c>
      <c r="P68" s="2">
        <v>1.0</v>
      </c>
      <c r="Q68" s="2">
        <v>0.0</v>
      </c>
      <c r="R68" s="2">
        <f>'נתוני זיהוי זאבים (2)'!$N68+'נתוני זיהוי זאבים (2)'!$O68+'נתוני זיהוי זאבים (2)'!$P68+'נתוני זיהוי זאבים (2)'!$Q68</f>
        <v>2</v>
      </c>
      <c r="S68" s="3" t="s">
        <v>455</v>
      </c>
      <c r="T68" s="3" t="s">
        <v>456</v>
      </c>
      <c r="U68" s="3" t="s">
        <v>375</v>
      </c>
      <c r="V68" s="3" t="s">
        <v>210</v>
      </c>
      <c r="W68" s="3" t="s">
        <v>295</v>
      </c>
      <c r="X68" s="3" t="s">
        <v>210</v>
      </c>
      <c r="Y68" s="3" t="s">
        <v>358</v>
      </c>
      <c r="Z68" s="3" t="s">
        <v>39</v>
      </c>
      <c r="AA68" s="3" t="s">
        <v>85</v>
      </c>
      <c r="AB68" s="3" t="s">
        <v>44</v>
      </c>
    </row>
    <row r="69" ht="14.25" customHeight="1">
      <c r="A69" s="1" t="s">
        <v>457</v>
      </c>
      <c r="B69" s="1"/>
      <c r="C69" s="2" t="s">
        <v>445</v>
      </c>
      <c r="D69" s="2" t="s">
        <v>445</v>
      </c>
      <c r="E69" s="1"/>
      <c r="F69" s="2">
        <v>46.0</v>
      </c>
      <c r="G69" s="3" t="s">
        <v>57</v>
      </c>
      <c r="H69" s="3"/>
      <c r="I69" s="25" t="s">
        <v>447</v>
      </c>
      <c r="J69" s="3"/>
      <c r="K69" s="3" t="s">
        <v>458</v>
      </c>
      <c r="L69" s="3" t="s">
        <v>459</v>
      </c>
      <c r="M69" s="2">
        <v>1.0</v>
      </c>
      <c r="N69" s="2">
        <v>0.0</v>
      </c>
      <c r="O69" s="2">
        <v>1.0</v>
      </c>
      <c r="P69" s="2">
        <v>0.0</v>
      </c>
      <c r="Q69" s="2">
        <v>0.0</v>
      </c>
      <c r="R69" s="2">
        <f>'נתוני זיהוי זאבים (2)'!$N69+'נתוני זיהוי זאבים (2)'!$O69+'נתוני זיהוי זאבים (2)'!$P69+'נתוני זיהוי זאבים (2)'!$Q69</f>
        <v>1</v>
      </c>
      <c r="S69" s="3" t="s">
        <v>460</v>
      </c>
      <c r="T69" s="3" t="s">
        <v>461</v>
      </c>
      <c r="U69" s="3" t="s">
        <v>462</v>
      </c>
      <c r="V69" s="3" t="s">
        <v>39</v>
      </c>
      <c r="W69" s="3" t="s">
        <v>307</v>
      </c>
      <c r="X69" s="3" t="s">
        <v>252</v>
      </c>
      <c r="Y69" s="3" t="s">
        <v>463</v>
      </c>
      <c r="Z69" s="3" t="s">
        <v>54</v>
      </c>
      <c r="AA69" s="3" t="s">
        <v>63</v>
      </c>
      <c r="AB69" s="3" t="s">
        <v>44</v>
      </c>
      <c r="AC69" s="32"/>
      <c r="AD69" s="32"/>
      <c r="AE69" s="32"/>
      <c r="AF69" s="32"/>
    </row>
    <row r="70" ht="14.25" customHeight="1">
      <c r="A70" s="1" t="s">
        <v>464</v>
      </c>
      <c r="B70" s="1"/>
      <c r="C70" s="2" t="s">
        <v>445</v>
      </c>
      <c r="D70" s="2" t="s">
        <v>445</v>
      </c>
      <c r="E70" s="1"/>
      <c r="F70" s="2">
        <v>47.0</v>
      </c>
      <c r="G70" s="3" t="s">
        <v>57</v>
      </c>
      <c r="H70" s="3"/>
      <c r="I70" s="25"/>
      <c r="J70" s="3"/>
      <c r="K70" s="3"/>
      <c r="L70" s="3" t="s">
        <v>189</v>
      </c>
      <c r="M70" s="2">
        <v>1.0</v>
      </c>
      <c r="N70" s="2">
        <v>1.0</v>
      </c>
      <c r="O70" s="2">
        <v>0.0</v>
      </c>
      <c r="P70" s="2">
        <v>0.0</v>
      </c>
      <c r="Q70" s="2">
        <v>0.0</v>
      </c>
      <c r="R70" s="2">
        <f>'נתוני זיהוי זאבים (2)'!$N70+'נתוני זיהוי זאבים (2)'!$O70+'נתוני זיהוי זאבים (2)'!$P70+'נתוני זיהוי זאבים (2)'!$Q70</f>
        <v>1</v>
      </c>
      <c r="S70" s="3" t="s">
        <v>465</v>
      </c>
      <c r="T70" s="3" t="s">
        <v>466</v>
      </c>
      <c r="U70" s="3" t="s">
        <v>296</v>
      </c>
      <c r="V70" s="3" t="s">
        <v>39</v>
      </c>
      <c r="W70" s="3" t="s">
        <v>307</v>
      </c>
      <c r="X70" s="3" t="s">
        <v>39</v>
      </c>
      <c r="Y70" s="3" t="s">
        <v>118</v>
      </c>
      <c r="Z70" s="3" t="s">
        <v>42</v>
      </c>
      <c r="AA70" s="3" t="s">
        <v>279</v>
      </c>
      <c r="AB70" s="3" t="s">
        <v>85</v>
      </c>
      <c r="AC70" s="32"/>
      <c r="AD70" s="32"/>
      <c r="AE70" s="32"/>
      <c r="AF70" s="32"/>
    </row>
    <row r="71" ht="14.25" customHeight="1">
      <c r="A71" s="1" t="s">
        <v>467</v>
      </c>
      <c r="B71" s="1"/>
      <c r="C71" s="2" t="s">
        <v>445</v>
      </c>
      <c r="D71" s="2" t="s">
        <v>445</v>
      </c>
      <c r="E71" s="1" t="s">
        <v>68</v>
      </c>
      <c r="F71" s="2">
        <v>47.0</v>
      </c>
      <c r="G71" s="3" t="s">
        <v>57</v>
      </c>
      <c r="H71" s="3"/>
      <c r="I71" s="75" t="s">
        <v>447</v>
      </c>
      <c r="J71" s="3"/>
      <c r="K71" s="3"/>
      <c r="L71" s="3" t="s">
        <v>459</v>
      </c>
      <c r="M71" s="2">
        <v>1.0</v>
      </c>
      <c r="N71" s="2">
        <v>1.0</v>
      </c>
      <c r="O71" s="2">
        <v>2.0</v>
      </c>
      <c r="P71" s="2">
        <v>0.0</v>
      </c>
      <c r="Q71" s="2">
        <v>0.0</v>
      </c>
      <c r="R71" s="2">
        <f>'נתוני זיהוי זאבים (2)'!$N71+'נתוני זיהוי זאבים (2)'!$O71+'נתוני זיהוי זאבים (2)'!$P71+'נתוני זיהוי זאבים (2)'!$Q71</f>
        <v>3</v>
      </c>
      <c r="S71" s="3" t="s">
        <v>468</v>
      </c>
      <c r="T71" s="3" t="s">
        <v>469</v>
      </c>
      <c r="U71" s="3" t="s">
        <v>118</v>
      </c>
      <c r="V71" s="3" t="s">
        <v>252</v>
      </c>
      <c r="W71" s="3" t="s">
        <v>295</v>
      </c>
      <c r="X71" s="3" t="s">
        <v>252</v>
      </c>
      <c r="Y71" s="3" t="s">
        <v>117</v>
      </c>
      <c r="Z71" s="3" t="s">
        <v>54</v>
      </c>
      <c r="AA71" s="3" t="s">
        <v>55</v>
      </c>
      <c r="AB71" s="3" t="s">
        <v>63</v>
      </c>
    </row>
    <row r="72" ht="14.25" customHeight="1">
      <c r="A72" s="1" t="s">
        <v>470</v>
      </c>
      <c r="B72" s="1"/>
      <c r="C72" s="2" t="s">
        <v>445</v>
      </c>
      <c r="D72" s="2" t="s">
        <v>445</v>
      </c>
      <c r="E72" s="1"/>
      <c r="F72" s="2">
        <v>48.0</v>
      </c>
      <c r="G72" s="3" t="s">
        <v>133</v>
      </c>
      <c r="H72" s="3"/>
      <c r="I72" s="76" t="s">
        <v>133</v>
      </c>
      <c r="J72" s="3"/>
      <c r="K72" s="3"/>
      <c r="L72" s="3" t="s">
        <v>471</v>
      </c>
      <c r="M72" s="2">
        <v>1.0</v>
      </c>
      <c r="N72" s="2">
        <v>0.0</v>
      </c>
      <c r="O72" s="2">
        <v>0.0</v>
      </c>
      <c r="P72" s="2">
        <v>3.0</v>
      </c>
      <c r="Q72" s="2">
        <v>0.0</v>
      </c>
      <c r="R72" s="2">
        <f>'נתוני זיהוי זאבים (2)'!$N72+'נתוני זיהוי זאבים (2)'!$O72+'נתוני זיהוי זאבים (2)'!$P72+'נתוני זיהוי זאבים (2)'!$Q72</f>
        <v>3</v>
      </c>
      <c r="S72" s="3" t="s">
        <v>472</v>
      </c>
      <c r="T72" s="3" t="s">
        <v>473</v>
      </c>
      <c r="U72" s="3" t="s">
        <v>39</v>
      </c>
      <c r="V72" s="3" t="s">
        <v>210</v>
      </c>
      <c r="W72" s="3" t="s">
        <v>193</v>
      </c>
      <c r="X72" s="3" t="s">
        <v>193</v>
      </c>
      <c r="Y72" s="3" t="s">
        <v>186</v>
      </c>
      <c r="Z72" s="3" t="s">
        <v>54</v>
      </c>
      <c r="AA72" s="3" t="s">
        <v>350</v>
      </c>
      <c r="AB72" s="3" t="s">
        <v>44</v>
      </c>
    </row>
    <row r="73" ht="14.25" customHeight="1">
      <c r="A73" s="1" t="s">
        <v>474</v>
      </c>
      <c r="B73" s="1"/>
      <c r="C73" s="2" t="s">
        <v>78</v>
      </c>
      <c r="D73" s="2" t="s">
        <v>78</v>
      </c>
      <c r="E73" s="1" t="s">
        <v>31</v>
      </c>
      <c r="F73" s="2" t="s">
        <v>475</v>
      </c>
      <c r="G73" s="3" t="s">
        <v>133</v>
      </c>
      <c r="H73" s="3"/>
      <c r="I73" s="11" t="s">
        <v>133</v>
      </c>
      <c r="J73" s="3"/>
      <c r="K73" s="3" t="s">
        <v>476</v>
      </c>
      <c r="L73" s="3" t="s">
        <v>477</v>
      </c>
      <c r="M73" s="2">
        <v>2.0</v>
      </c>
      <c r="N73" s="2">
        <v>0.0</v>
      </c>
      <c r="O73" s="2">
        <v>3.0</v>
      </c>
      <c r="P73" s="2">
        <v>1.0</v>
      </c>
      <c r="Q73" s="2">
        <v>0.0</v>
      </c>
      <c r="R73" s="2">
        <f>'נתוני זיהוי זאבים (2)'!$N73+'נתוני זיהוי זאבים (2)'!$O73+'נתוני זיהוי זאבים (2)'!$P73+'נתוני זיהוי זאבים (2)'!$Q73</f>
        <v>4</v>
      </c>
      <c r="S73" s="3" t="s">
        <v>478</v>
      </c>
      <c r="T73" s="3" t="s">
        <v>451</v>
      </c>
      <c r="U73" s="3" t="s">
        <v>479</v>
      </c>
      <c r="V73" s="3" t="s">
        <v>210</v>
      </c>
      <c r="W73" s="3" t="s">
        <v>295</v>
      </c>
      <c r="X73" s="3" t="s">
        <v>39</v>
      </c>
      <c r="Y73" s="3" t="s">
        <v>452</v>
      </c>
      <c r="Z73" s="3" t="s">
        <v>54</v>
      </c>
      <c r="AA73" s="3" t="s">
        <v>273</v>
      </c>
      <c r="AB73" s="3" t="s">
        <v>63</v>
      </c>
    </row>
    <row r="74" ht="14.25" customHeight="1">
      <c r="A74" s="1" t="s">
        <v>480</v>
      </c>
      <c r="B74" s="1"/>
      <c r="C74" s="2" t="s">
        <v>78</v>
      </c>
      <c r="D74" s="2" t="s">
        <v>78</v>
      </c>
      <c r="E74" s="1"/>
      <c r="F74" s="2" t="s">
        <v>481</v>
      </c>
      <c r="G74" s="3" t="s">
        <v>32</v>
      </c>
      <c r="H74" s="3"/>
      <c r="I74" s="23" t="s">
        <v>482</v>
      </c>
      <c r="J74" s="3"/>
      <c r="K74" s="3"/>
      <c r="L74" s="3" t="s">
        <v>483</v>
      </c>
      <c r="M74" s="2" t="s">
        <v>164</v>
      </c>
      <c r="N74" s="2">
        <v>2.0</v>
      </c>
      <c r="O74" s="2">
        <v>2.0</v>
      </c>
      <c r="P74" s="2">
        <v>0.0</v>
      </c>
      <c r="Q74" s="2">
        <v>0.0</v>
      </c>
      <c r="R74" s="2">
        <f>'נתוני זיהוי זאבים (2)'!$N74+'נתוני זיהוי זאבים (2)'!$O74+'נתוני זיהוי זאבים (2)'!$P74+'נתוני זיהוי זאבים (2)'!$Q74</f>
        <v>4</v>
      </c>
      <c r="S74" s="3" t="s">
        <v>484</v>
      </c>
      <c r="T74" s="3" t="s">
        <v>166</v>
      </c>
      <c r="U74" s="3" t="s">
        <v>485</v>
      </c>
      <c r="V74" s="3" t="s">
        <v>39</v>
      </c>
      <c r="W74" s="3" t="s">
        <v>295</v>
      </c>
      <c r="X74" s="3" t="s">
        <v>147</v>
      </c>
      <c r="Y74" s="3" t="s">
        <v>349</v>
      </c>
      <c r="Z74" s="3" t="s">
        <v>42</v>
      </c>
      <c r="AA74" s="3" t="s">
        <v>55</v>
      </c>
      <c r="AB74" s="3" t="s">
        <v>63</v>
      </c>
    </row>
    <row r="75" ht="14.25" customHeight="1">
      <c r="A75" s="1" t="s">
        <v>486</v>
      </c>
      <c r="B75" s="1"/>
      <c r="C75" s="2" t="s">
        <v>78</v>
      </c>
      <c r="D75" s="2" t="s">
        <v>78</v>
      </c>
      <c r="E75" s="1"/>
      <c r="F75" s="2">
        <v>33.0</v>
      </c>
      <c r="G75" s="3" t="s">
        <v>32</v>
      </c>
      <c r="H75" s="3"/>
      <c r="I75" s="77" t="s">
        <v>482</v>
      </c>
      <c r="J75" s="3"/>
      <c r="K75" s="3" t="s">
        <v>487</v>
      </c>
      <c r="L75" s="3" t="s">
        <v>488</v>
      </c>
      <c r="M75" s="2">
        <v>1.0</v>
      </c>
      <c r="N75" s="2">
        <v>3.0</v>
      </c>
      <c r="O75" s="2">
        <v>0.0</v>
      </c>
      <c r="P75" s="2">
        <v>0.0</v>
      </c>
      <c r="Q75" s="2">
        <v>0.0</v>
      </c>
      <c r="R75" s="2">
        <f>'נתוני זיהוי זאבים (2)'!$N75+'נתוני זיהוי זאבים (2)'!$O75+'נתוני זיהוי זאבים (2)'!$P75+'נתוני זיהוי זאבים (2)'!$Q75</f>
        <v>3</v>
      </c>
      <c r="S75" s="3" t="s">
        <v>489</v>
      </c>
      <c r="T75" s="3" t="s">
        <v>490</v>
      </c>
      <c r="U75" s="3" t="s">
        <v>154</v>
      </c>
      <c r="V75" s="3" t="s">
        <v>52</v>
      </c>
      <c r="W75" s="3" t="s">
        <v>39</v>
      </c>
      <c r="X75" s="3" t="s">
        <v>39</v>
      </c>
      <c r="Y75" s="3" t="s">
        <v>491</v>
      </c>
      <c r="Z75" s="3" t="s">
        <v>42</v>
      </c>
      <c r="AA75" s="3" t="s">
        <v>96</v>
      </c>
      <c r="AB75" s="3" t="s">
        <v>44</v>
      </c>
    </row>
    <row r="76" ht="14.25" customHeight="1">
      <c r="A76" s="1" t="s">
        <v>492</v>
      </c>
      <c r="B76" s="1"/>
      <c r="C76" s="2" t="s">
        <v>78</v>
      </c>
      <c r="D76" s="2" t="s">
        <v>78</v>
      </c>
      <c r="E76" s="1"/>
      <c r="F76" s="2">
        <v>33.0</v>
      </c>
      <c r="G76" s="3" t="s">
        <v>32</v>
      </c>
      <c r="H76" s="3"/>
      <c r="I76" s="77" t="s">
        <v>482</v>
      </c>
      <c r="J76" s="3"/>
      <c r="K76" s="3" t="s">
        <v>367</v>
      </c>
      <c r="L76" s="3" t="s">
        <v>493</v>
      </c>
      <c r="M76" s="2">
        <v>1.0</v>
      </c>
      <c r="N76" s="2">
        <v>0.0</v>
      </c>
      <c r="O76" s="2">
        <v>2.0</v>
      </c>
      <c r="P76" s="2">
        <v>0.0</v>
      </c>
      <c r="Q76" s="2">
        <v>1.0</v>
      </c>
      <c r="R76" s="2">
        <f>'נתוני זיהוי זאבים (2)'!$N76+'נתוני זיהוי זאבים (2)'!$O76+'נתוני זיהוי זאבים (2)'!$P76+'נתוני זיהוי זאבים (2)'!$Q76</f>
        <v>3</v>
      </c>
      <c r="S76" s="3" t="s">
        <v>494</v>
      </c>
      <c r="T76" s="3" t="s">
        <v>72</v>
      </c>
      <c r="U76" s="3" t="s">
        <v>138</v>
      </c>
      <c r="V76" s="3" t="s">
        <v>52</v>
      </c>
      <c r="W76" s="3" t="s">
        <v>125</v>
      </c>
      <c r="X76" s="3" t="s">
        <v>147</v>
      </c>
      <c r="Y76" s="3" t="s">
        <v>495</v>
      </c>
      <c r="Z76" s="3" t="s">
        <v>54</v>
      </c>
      <c r="AA76" s="3" t="s">
        <v>139</v>
      </c>
      <c r="AB76" s="3" t="s">
        <v>63</v>
      </c>
    </row>
    <row r="77" ht="14.25" customHeight="1">
      <c r="A77" s="1" t="s">
        <v>496</v>
      </c>
      <c r="B77" s="1"/>
      <c r="C77" s="2" t="s">
        <v>78</v>
      </c>
      <c r="D77" s="2" t="s">
        <v>78</v>
      </c>
      <c r="E77" s="1"/>
      <c r="F77" s="2">
        <v>33.0</v>
      </c>
      <c r="G77" s="3" t="s">
        <v>32</v>
      </c>
      <c r="H77" s="3"/>
      <c r="I77" s="77" t="s">
        <v>482</v>
      </c>
      <c r="J77" s="3"/>
      <c r="K77" s="3"/>
      <c r="L77" s="3" t="s">
        <v>497</v>
      </c>
      <c r="M77" s="2">
        <v>1.0</v>
      </c>
      <c r="N77" s="2">
        <v>0.0</v>
      </c>
      <c r="O77" s="2">
        <v>1.0</v>
      </c>
      <c r="P77" s="2">
        <v>2.0</v>
      </c>
      <c r="Q77" s="2">
        <v>0.0</v>
      </c>
      <c r="R77" s="2">
        <f>'נתוני זיהוי זאבים (2)'!$N77+'נתוני זיהוי זאבים (2)'!$O77+'נתוני זיהוי זאבים (2)'!$P77+'נתוני זיהוי זאבים (2)'!$Q77</f>
        <v>3</v>
      </c>
      <c r="S77" s="3" t="s">
        <v>498</v>
      </c>
      <c r="T77" s="3" t="s">
        <v>499</v>
      </c>
      <c r="U77" s="3" t="s">
        <v>242</v>
      </c>
      <c r="V77" s="3" t="s">
        <v>500</v>
      </c>
      <c r="W77" s="3" t="s">
        <v>307</v>
      </c>
      <c r="X77" s="3" t="s">
        <v>252</v>
      </c>
      <c r="Y77" s="3" t="s">
        <v>194</v>
      </c>
      <c r="Z77" s="3" t="s">
        <v>42</v>
      </c>
      <c r="AA77" s="3" t="s">
        <v>112</v>
      </c>
      <c r="AB77" s="3" t="s">
        <v>44</v>
      </c>
    </row>
    <row r="78" ht="14.25" customHeight="1">
      <c r="A78" s="1" t="s">
        <v>501</v>
      </c>
      <c r="B78" s="1"/>
      <c r="C78" s="2" t="s">
        <v>78</v>
      </c>
      <c r="D78" s="2" t="s">
        <v>78</v>
      </c>
      <c r="E78" s="1"/>
      <c r="F78" s="2">
        <v>33.0</v>
      </c>
      <c r="G78" s="3" t="s">
        <v>32</v>
      </c>
      <c r="H78" s="3"/>
      <c r="I78" s="25" t="s">
        <v>482</v>
      </c>
      <c r="J78" s="3"/>
      <c r="K78" s="3"/>
      <c r="L78" s="3" t="s">
        <v>502</v>
      </c>
      <c r="M78" s="2">
        <v>1.0</v>
      </c>
      <c r="N78" s="2">
        <v>0.0</v>
      </c>
      <c r="O78" s="2">
        <v>2.0</v>
      </c>
      <c r="P78" s="2">
        <v>0.0</v>
      </c>
      <c r="Q78" s="2">
        <v>0.0</v>
      </c>
      <c r="R78" s="2">
        <f>'נתוני זיהוי זאבים (2)'!$N78+'נתוני זיהוי זאבים (2)'!$O78+'נתוני זיהוי זאבים (2)'!$P78+'נתוני זיהוי זאבים (2)'!$Q78</f>
        <v>2</v>
      </c>
      <c r="S78" s="3" t="s">
        <v>503</v>
      </c>
      <c r="T78" s="3" t="s">
        <v>504</v>
      </c>
      <c r="U78" s="3" t="s">
        <v>357</v>
      </c>
      <c r="V78" s="3" t="s">
        <v>52</v>
      </c>
      <c r="W78" s="3" t="s">
        <v>307</v>
      </c>
      <c r="X78" s="3" t="s">
        <v>252</v>
      </c>
      <c r="Y78" s="3" t="s">
        <v>148</v>
      </c>
      <c r="Z78" s="3" t="s">
        <v>42</v>
      </c>
      <c r="AA78" s="3" t="s">
        <v>55</v>
      </c>
      <c r="AB78" s="3" t="s">
        <v>44</v>
      </c>
    </row>
    <row r="79" ht="14.25" customHeight="1">
      <c r="A79" s="1" t="s">
        <v>505</v>
      </c>
      <c r="B79" s="1"/>
      <c r="C79" s="2" t="s">
        <v>78</v>
      </c>
      <c r="D79" s="2" t="s">
        <v>78</v>
      </c>
      <c r="E79" s="1"/>
      <c r="F79" s="2">
        <v>33.0</v>
      </c>
      <c r="G79" s="3" t="s">
        <v>32</v>
      </c>
      <c r="H79" s="3"/>
      <c r="I79" s="78" t="s">
        <v>482</v>
      </c>
      <c r="J79" s="3"/>
      <c r="K79" s="3"/>
      <c r="L79" s="3" t="s">
        <v>506</v>
      </c>
      <c r="M79" s="2">
        <v>1.0</v>
      </c>
      <c r="N79" s="2">
        <v>2.0</v>
      </c>
      <c r="O79" s="2">
        <v>0.0</v>
      </c>
      <c r="P79" s="2">
        <v>0.0</v>
      </c>
      <c r="Q79" s="2">
        <v>0.0</v>
      </c>
      <c r="R79" s="2">
        <f>'נתוני זיהוי זאבים (2)'!$N79+'נתוני זיהוי זאבים (2)'!$O79+'נתוני זיהוי זאבים (2)'!$P79+'נתוני זיהוי זאבים (2)'!$Q79</f>
        <v>2</v>
      </c>
      <c r="S79" s="3" t="s">
        <v>507</v>
      </c>
      <c r="T79" s="3" t="s">
        <v>508</v>
      </c>
      <c r="U79" s="3" t="s">
        <v>509</v>
      </c>
      <c r="V79" s="3" t="s">
        <v>52</v>
      </c>
      <c r="W79" s="3" t="s">
        <v>125</v>
      </c>
      <c r="X79" s="3" t="s">
        <v>39</v>
      </c>
      <c r="Y79" s="3" t="s">
        <v>95</v>
      </c>
      <c r="Z79" s="3" t="s">
        <v>75</v>
      </c>
      <c r="AA79" s="3" t="s">
        <v>96</v>
      </c>
      <c r="AB79" s="3" t="s">
        <v>44</v>
      </c>
    </row>
    <row r="80" ht="14.25" customHeight="1">
      <c r="A80" s="1" t="s">
        <v>510</v>
      </c>
      <c r="B80" s="1"/>
      <c r="C80" s="2" t="s">
        <v>78</v>
      </c>
      <c r="D80" s="2" t="s">
        <v>78</v>
      </c>
      <c r="E80" s="1"/>
      <c r="F80" s="2">
        <v>33.0</v>
      </c>
      <c r="G80" s="3" t="s">
        <v>57</v>
      </c>
      <c r="H80" s="3"/>
      <c r="I80" s="79" t="s">
        <v>201</v>
      </c>
      <c r="J80" s="3"/>
      <c r="K80" s="3" t="s">
        <v>511</v>
      </c>
      <c r="L80" s="3" t="s">
        <v>512</v>
      </c>
      <c r="M80" s="2">
        <v>2.0</v>
      </c>
      <c r="N80" s="2">
        <v>1.0</v>
      </c>
      <c r="O80" s="2">
        <v>4.0</v>
      </c>
      <c r="P80" s="2">
        <v>0.0</v>
      </c>
      <c r="Q80" s="2">
        <v>0.0</v>
      </c>
      <c r="R80" s="2">
        <f>'נתוני זיהוי זאבים (2)'!$N80+'נתוני זיהוי זאבים (2)'!$O80+'נתוני זיהוי זאבים (2)'!$P80+'נתוני זיהוי זאבים (2)'!$Q80</f>
        <v>5</v>
      </c>
      <c r="S80" s="3" t="s">
        <v>513</v>
      </c>
      <c r="T80" s="3" t="s">
        <v>514</v>
      </c>
      <c r="U80" s="3" t="s">
        <v>462</v>
      </c>
      <c r="V80" s="3" t="s">
        <v>39</v>
      </c>
      <c r="W80" s="3" t="s">
        <v>307</v>
      </c>
      <c r="X80" s="3" t="s">
        <v>39</v>
      </c>
      <c r="Y80" s="3" t="s">
        <v>39</v>
      </c>
      <c r="Z80" s="3" t="s">
        <v>39</v>
      </c>
      <c r="AA80" s="3" t="s">
        <v>515</v>
      </c>
      <c r="AB80" s="3" t="s">
        <v>85</v>
      </c>
    </row>
    <row r="81" ht="14.25" customHeight="1">
      <c r="A81" s="1" t="s">
        <v>516</v>
      </c>
      <c r="B81" s="1"/>
      <c r="C81" s="2" t="s">
        <v>78</v>
      </c>
      <c r="D81" s="2" t="s">
        <v>78</v>
      </c>
      <c r="E81" s="1"/>
      <c r="F81" s="2">
        <v>34.0</v>
      </c>
      <c r="G81" s="3" t="s">
        <v>46</v>
      </c>
      <c r="H81" s="3"/>
      <c r="I81" s="80" t="s">
        <v>517</v>
      </c>
      <c r="J81" s="3"/>
      <c r="K81" s="3"/>
      <c r="L81" s="3" t="s">
        <v>518</v>
      </c>
      <c r="M81" s="2">
        <v>1.0</v>
      </c>
      <c r="N81" s="2">
        <v>4.0</v>
      </c>
      <c r="O81" s="2">
        <v>0.0</v>
      </c>
      <c r="P81" s="2">
        <v>0.0</v>
      </c>
      <c r="Q81" s="2">
        <v>0.0</v>
      </c>
      <c r="R81" s="2">
        <f>'נתוני זיהוי זאבים (2)'!$N81+'נתוני זיהוי זאבים (2)'!$O81+'נתוני זיהוי זאבים (2)'!$P81+'נתוני זיהוי זאבים (2)'!$Q81</f>
        <v>4</v>
      </c>
      <c r="S81" s="3" t="s">
        <v>519</v>
      </c>
      <c r="T81" s="3" t="s">
        <v>520</v>
      </c>
      <c r="U81" s="3" t="s">
        <v>462</v>
      </c>
      <c r="V81" s="3" t="s">
        <v>210</v>
      </c>
      <c r="W81" s="3" t="s">
        <v>199</v>
      </c>
      <c r="X81" s="3" t="s">
        <v>199</v>
      </c>
      <c r="Y81" s="3" t="s">
        <v>314</v>
      </c>
      <c r="Z81" s="3" t="s">
        <v>39</v>
      </c>
      <c r="AA81" s="3" t="s">
        <v>42</v>
      </c>
      <c r="AB81" s="3" t="s">
        <v>85</v>
      </c>
    </row>
    <row r="82" ht="14.25" customHeight="1">
      <c r="A82" s="1" t="s">
        <v>521</v>
      </c>
      <c r="B82" s="1"/>
      <c r="C82" s="2" t="s">
        <v>78</v>
      </c>
      <c r="D82" s="2" t="s">
        <v>78</v>
      </c>
      <c r="E82" s="1"/>
      <c r="F82" s="2">
        <v>34.0</v>
      </c>
      <c r="G82" s="3" t="s">
        <v>46</v>
      </c>
      <c r="H82" s="3"/>
      <c r="I82" s="81" t="s">
        <v>517</v>
      </c>
      <c r="J82" s="3"/>
      <c r="K82" s="3"/>
      <c r="L82" s="3" t="s">
        <v>522</v>
      </c>
      <c r="M82" s="2">
        <v>2.0</v>
      </c>
      <c r="N82" s="2">
        <v>3.0</v>
      </c>
      <c r="O82" s="2">
        <v>0.0</v>
      </c>
      <c r="P82" s="2">
        <v>0.0</v>
      </c>
      <c r="Q82" s="2">
        <v>2.0</v>
      </c>
      <c r="R82" s="2">
        <f>'נתוני זיהוי זאבים (2)'!$N82+'נתוני זיהוי זאבים (2)'!$O82+'נתוני זיהוי זאבים (2)'!$P82+'נתוני זיהוי זאבים (2)'!$Q82</f>
        <v>5</v>
      </c>
      <c r="S82" s="3" t="s">
        <v>523</v>
      </c>
      <c r="T82" s="3" t="s">
        <v>524</v>
      </c>
      <c r="U82" s="3" t="s">
        <v>39</v>
      </c>
      <c r="V82" s="3" t="s">
        <v>218</v>
      </c>
      <c r="W82" s="3" t="s">
        <v>199</v>
      </c>
      <c r="X82" s="3" t="s">
        <v>199</v>
      </c>
      <c r="Y82" s="3" t="s">
        <v>525</v>
      </c>
      <c r="Z82" s="3" t="s">
        <v>39</v>
      </c>
      <c r="AA82" s="3" t="s">
        <v>42</v>
      </c>
      <c r="AB82" s="3" t="s">
        <v>85</v>
      </c>
    </row>
    <row r="83" ht="14.25" customHeight="1">
      <c r="A83" s="1" t="s">
        <v>526</v>
      </c>
      <c r="B83" s="1"/>
      <c r="C83" s="2" t="s">
        <v>78</v>
      </c>
      <c r="D83" s="2" t="s">
        <v>78</v>
      </c>
      <c r="E83" s="1"/>
      <c r="F83" s="2" t="s">
        <v>527</v>
      </c>
      <c r="G83" s="3" t="s">
        <v>32</v>
      </c>
      <c r="H83" s="3"/>
      <c r="I83" s="13" t="s">
        <v>528</v>
      </c>
      <c r="J83" s="3"/>
      <c r="K83" s="3" t="s">
        <v>529</v>
      </c>
      <c r="L83" s="3" t="s">
        <v>530</v>
      </c>
      <c r="M83" s="2">
        <v>1.0</v>
      </c>
      <c r="N83" s="2">
        <v>0.0</v>
      </c>
      <c r="O83" s="2">
        <v>3.0</v>
      </c>
      <c r="P83" s="2">
        <v>0.0</v>
      </c>
      <c r="Q83" s="2">
        <v>0.0</v>
      </c>
      <c r="R83" s="2">
        <f>'נתוני זיהוי זאבים (2)'!$N83+'נתוני זיהוי זאבים (2)'!$O83+'נתוני זיהוי זאבים (2)'!$P83+'נתוני זיהוי זאבים (2)'!$Q83</f>
        <v>3</v>
      </c>
      <c r="S83" s="3" t="s">
        <v>531</v>
      </c>
      <c r="T83" s="3" t="s">
        <v>166</v>
      </c>
      <c r="U83" s="3" t="s">
        <v>532</v>
      </c>
      <c r="V83" s="3" t="s">
        <v>39</v>
      </c>
      <c r="W83" s="3" t="s">
        <v>39</v>
      </c>
      <c r="X83" s="3" t="s">
        <v>39</v>
      </c>
      <c r="Y83" s="3" t="s">
        <v>194</v>
      </c>
      <c r="Z83" s="3" t="s">
        <v>54</v>
      </c>
      <c r="AA83" s="3" t="s">
        <v>63</v>
      </c>
      <c r="AB83" s="3" t="s">
        <v>44</v>
      </c>
      <c r="AC83" s="32"/>
      <c r="AD83" s="32"/>
      <c r="AE83" s="32"/>
      <c r="AF83" s="32"/>
    </row>
    <row r="84" ht="14.25" customHeight="1">
      <c r="A84" s="1" t="s">
        <v>533</v>
      </c>
      <c r="B84" s="1"/>
      <c r="C84" s="2" t="s">
        <v>78</v>
      </c>
      <c r="D84" s="2" t="s">
        <v>78</v>
      </c>
      <c r="E84" s="1"/>
      <c r="F84" s="2">
        <v>34.0</v>
      </c>
      <c r="G84" s="3" t="s">
        <v>57</v>
      </c>
      <c r="H84" s="3"/>
      <c r="I84" s="82" t="s">
        <v>201</v>
      </c>
      <c r="J84" s="3"/>
      <c r="K84" s="3"/>
      <c r="L84" s="3" t="s">
        <v>305</v>
      </c>
      <c r="M84" s="2">
        <v>1.0</v>
      </c>
      <c r="N84" s="2">
        <v>3.0</v>
      </c>
      <c r="O84" s="2">
        <v>3.0</v>
      </c>
      <c r="P84" s="2">
        <v>1.0</v>
      </c>
      <c r="Q84" s="2">
        <v>0.0</v>
      </c>
      <c r="R84" s="2">
        <f>'נתוני זיהוי זאבים (2)'!$N84+'נתוני זיהוי זאבים (2)'!$O84+'נתוני זיהוי זאבים (2)'!$P84+'נתוני זיהוי זאבים (2)'!$Q84</f>
        <v>7</v>
      </c>
      <c r="S84" s="3" t="s">
        <v>534</v>
      </c>
      <c r="T84" s="3" t="s">
        <v>535</v>
      </c>
      <c r="U84" s="3" t="s">
        <v>102</v>
      </c>
      <c r="V84" s="3" t="s">
        <v>155</v>
      </c>
      <c r="W84" s="3" t="s">
        <v>307</v>
      </c>
      <c r="X84" s="3" t="s">
        <v>252</v>
      </c>
      <c r="Y84" s="3" t="s">
        <v>186</v>
      </c>
      <c r="Z84" s="3" t="s">
        <v>54</v>
      </c>
      <c r="AA84" s="3" t="s">
        <v>42</v>
      </c>
      <c r="AB84" s="3" t="s">
        <v>44</v>
      </c>
    </row>
    <row r="85" ht="14.25" customHeight="1">
      <c r="A85" s="1" t="s">
        <v>536</v>
      </c>
      <c r="B85" s="1"/>
      <c r="C85" s="2" t="s">
        <v>78</v>
      </c>
      <c r="D85" s="2" t="s">
        <v>78</v>
      </c>
      <c r="E85" s="1"/>
      <c r="F85" s="2">
        <v>35.0</v>
      </c>
      <c r="G85" s="3" t="s">
        <v>32</v>
      </c>
      <c r="H85" s="3"/>
      <c r="I85" s="13" t="s">
        <v>528</v>
      </c>
      <c r="J85" s="3"/>
      <c r="K85" s="3"/>
      <c r="L85" s="3" t="s">
        <v>537</v>
      </c>
      <c r="M85" s="2" t="s">
        <v>182</v>
      </c>
      <c r="N85" s="2">
        <v>2.0</v>
      </c>
      <c r="O85" s="2">
        <v>5.0</v>
      </c>
      <c r="P85" s="2">
        <v>0.0</v>
      </c>
      <c r="Q85" s="2">
        <v>0.0</v>
      </c>
      <c r="R85" s="2">
        <f>'נתוני זיהוי זאבים (2)'!$N85+'נתוני זיהוי זאבים (2)'!$O85+'נתוני זיהוי זאבים (2)'!$P85+'נתוני זיהוי זאבים (2)'!$Q85</f>
        <v>7</v>
      </c>
      <c r="S85" s="3" t="s">
        <v>538</v>
      </c>
      <c r="T85" s="3" t="s">
        <v>539</v>
      </c>
      <c r="U85" s="3" t="s">
        <v>540</v>
      </c>
      <c r="V85" s="3" t="s">
        <v>541</v>
      </c>
      <c r="W85" s="3" t="s">
        <v>40</v>
      </c>
      <c r="X85" s="3" t="s">
        <v>39</v>
      </c>
      <c r="Y85" s="3" t="s">
        <v>148</v>
      </c>
      <c r="Z85" s="3" t="s">
        <v>40</v>
      </c>
      <c r="AA85" s="3" t="s">
        <v>542</v>
      </c>
      <c r="AB85" s="3" t="s">
        <v>85</v>
      </c>
      <c r="AC85" s="32"/>
      <c r="AD85" s="32"/>
      <c r="AE85" s="32"/>
      <c r="AF85" s="32"/>
    </row>
    <row r="86" ht="14.25" customHeight="1">
      <c r="A86" s="83" t="s">
        <v>543</v>
      </c>
      <c r="B86" s="83"/>
      <c r="C86" s="84" t="s">
        <v>78</v>
      </c>
      <c r="D86" s="84" t="s">
        <v>78</v>
      </c>
      <c r="E86" s="83"/>
      <c r="F86" s="84">
        <v>35.0</v>
      </c>
      <c r="G86" s="85" t="s">
        <v>32</v>
      </c>
      <c r="H86" s="85"/>
      <c r="I86" s="86" t="s">
        <v>528</v>
      </c>
      <c r="J86" s="85"/>
      <c r="K86" s="85"/>
      <c r="L86" s="85" t="s">
        <v>372</v>
      </c>
      <c r="M86" s="84"/>
      <c r="N86" s="84"/>
      <c r="O86" s="84"/>
      <c r="P86" s="84"/>
      <c r="Q86" s="84"/>
      <c r="R86" s="84">
        <f>'נתוני זיהוי זאבים (2)'!$N86+'נתוני זיהוי זאבים (2)'!$O86+'נתוני זיהוי זאבים (2)'!$P86+'נתוני זיהוי זאבים (2)'!$Q86</f>
        <v>0</v>
      </c>
      <c r="S86" s="85" t="s">
        <v>544</v>
      </c>
      <c r="T86" s="85" t="s">
        <v>545</v>
      </c>
      <c r="U86" s="85" t="s">
        <v>138</v>
      </c>
      <c r="V86" s="85" t="s">
        <v>52</v>
      </c>
      <c r="W86" s="85" t="s">
        <v>125</v>
      </c>
      <c r="X86" s="85" t="s">
        <v>147</v>
      </c>
      <c r="Y86" s="85" t="s">
        <v>546</v>
      </c>
      <c r="Z86" s="85" t="s">
        <v>54</v>
      </c>
      <c r="AA86" s="85" t="s">
        <v>139</v>
      </c>
      <c r="AB86" s="85" t="s">
        <v>42</v>
      </c>
      <c r="AC86" s="87"/>
      <c r="AD86" s="87"/>
      <c r="AE86" s="87"/>
      <c r="AF86" s="87"/>
    </row>
    <row r="87" ht="14.25" customHeight="1">
      <c r="A87" s="1" t="s">
        <v>547</v>
      </c>
      <c r="B87" s="1"/>
      <c r="C87" s="2" t="s">
        <v>78</v>
      </c>
      <c r="D87" s="2" t="s">
        <v>78</v>
      </c>
      <c r="E87" s="1"/>
      <c r="F87" s="2">
        <v>35.0</v>
      </c>
      <c r="G87" s="3" t="s">
        <v>32</v>
      </c>
      <c r="H87" s="3"/>
      <c r="I87" s="88" t="s">
        <v>528</v>
      </c>
      <c r="J87" s="3"/>
      <c r="K87" s="3"/>
      <c r="L87" s="3" t="s">
        <v>548</v>
      </c>
      <c r="M87" s="2">
        <v>1.0</v>
      </c>
      <c r="N87" s="2">
        <v>0.0</v>
      </c>
      <c r="O87" s="2">
        <v>3.0</v>
      </c>
      <c r="P87" s="2">
        <v>0.0</v>
      </c>
      <c r="Q87" s="2">
        <v>0.0</v>
      </c>
      <c r="R87" s="2">
        <f>'נתוני זיהוי זאבים (2)'!$N87+'נתוני זיהוי זאבים (2)'!$O87+'נתוני זיהוי זאבים (2)'!$P87+'נתוני זיהוי זאבים (2)'!$Q87</f>
        <v>3</v>
      </c>
      <c r="S87" s="3" t="s">
        <v>549</v>
      </c>
      <c r="T87" s="3" t="s">
        <v>550</v>
      </c>
      <c r="U87" s="3" t="s">
        <v>285</v>
      </c>
      <c r="V87" s="3" t="s">
        <v>40</v>
      </c>
      <c r="W87" s="3" t="s">
        <v>307</v>
      </c>
      <c r="X87" s="3" t="s">
        <v>252</v>
      </c>
      <c r="Y87" s="3" t="s">
        <v>41</v>
      </c>
      <c r="Z87" s="3" t="s">
        <v>42</v>
      </c>
      <c r="AA87" s="3" t="s">
        <v>85</v>
      </c>
      <c r="AB87" s="3" t="s">
        <v>85</v>
      </c>
    </row>
    <row r="88" ht="14.25" customHeight="1">
      <c r="A88" s="1" t="s">
        <v>551</v>
      </c>
      <c r="B88" s="1"/>
      <c r="C88" s="2" t="s">
        <v>78</v>
      </c>
      <c r="D88" s="2" t="s">
        <v>78</v>
      </c>
      <c r="E88" s="1"/>
      <c r="F88" s="2" t="s">
        <v>552</v>
      </c>
      <c r="G88" s="3" t="s">
        <v>32</v>
      </c>
      <c r="H88" s="3"/>
      <c r="I88" s="89" t="s">
        <v>528</v>
      </c>
      <c r="J88" s="3"/>
      <c r="K88" s="3" t="s">
        <v>553</v>
      </c>
      <c r="L88" s="3" t="s">
        <v>554</v>
      </c>
      <c r="M88" s="2">
        <v>2.0</v>
      </c>
      <c r="N88" s="2">
        <v>0.0</v>
      </c>
      <c r="O88" s="2">
        <v>3.0</v>
      </c>
      <c r="P88" s="2">
        <v>1.0</v>
      </c>
      <c r="Q88" s="2">
        <v>0.0</v>
      </c>
      <c r="R88" s="2">
        <f>'נתוני זיהוי זאבים (2)'!$N88+'נתוני זיהוי זאבים (2)'!$O88+'נתוני זיהוי זאבים (2)'!$P88+'נתוני זיהוי זאבים (2)'!$Q88</f>
        <v>4</v>
      </c>
      <c r="S88" s="3" t="s">
        <v>555</v>
      </c>
      <c r="T88" s="3" t="s">
        <v>556</v>
      </c>
      <c r="U88" s="3" t="s">
        <v>39</v>
      </c>
      <c r="V88" s="3" t="s">
        <v>557</v>
      </c>
      <c r="W88" s="3" t="s">
        <v>39</v>
      </c>
      <c r="X88" s="3" t="s">
        <v>558</v>
      </c>
      <c r="Y88" s="3" t="s">
        <v>54</v>
      </c>
      <c r="Z88" s="3" t="s">
        <v>54</v>
      </c>
      <c r="AA88" s="3" t="s">
        <v>559</v>
      </c>
      <c r="AB88" s="3" t="s">
        <v>42</v>
      </c>
    </row>
    <row r="89" ht="14.25" customHeight="1">
      <c r="A89" s="1" t="s">
        <v>560</v>
      </c>
      <c r="B89" s="1"/>
      <c r="C89" s="2" t="s">
        <v>561</v>
      </c>
      <c r="D89" s="2" t="s">
        <v>561</v>
      </c>
      <c r="E89" s="1"/>
      <c r="F89" s="2">
        <v>56.0</v>
      </c>
      <c r="G89" s="3" t="s">
        <v>133</v>
      </c>
      <c r="H89" s="3"/>
      <c r="I89" s="11" t="s">
        <v>133</v>
      </c>
      <c r="J89" s="3"/>
      <c r="K89" s="3"/>
      <c r="L89" s="3" t="s">
        <v>562</v>
      </c>
      <c r="M89" s="2">
        <v>1.0</v>
      </c>
      <c r="N89" s="2">
        <v>2.0</v>
      </c>
      <c r="O89" s="2">
        <v>0.0</v>
      </c>
      <c r="P89" s="2">
        <v>0.0</v>
      </c>
      <c r="Q89" s="2">
        <v>3.0</v>
      </c>
      <c r="R89" s="2">
        <f>'נתוני זיהוי זאבים (2)'!$N89+'נתוני זיהוי זאבים (2)'!$O89+'נתוני זיהוי זאבים (2)'!$P89+'נתוני זיהוי זאבים (2)'!$Q89</f>
        <v>5</v>
      </c>
      <c r="S89" s="3" t="s">
        <v>563</v>
      </c>
      <c r="T89" s="3" t="s">
        <v>564</v>
      </c>
      <c r="U89" s="3" t="s">
        <v>343</v>
      </c>
      <c r="V89" s="3" t="s">
        <v>39</v>
      </c>
      <c r="W89" s="3" t="s">
        <v>39</v>
      </c>
      <c r="X89" s="3" t="s">
        <v>39</v>
      </c>
      <c r="Y89" s="3" t="s">
        <v>565</v>
      </c>
      <c r="Z89" s="3" t="s">
        <v>54</v>
      </c>
      <c r="AA89" s="3" t="s">
        <v>566</v>
      </c>
      <c r="AB89" s="3" t="s">
        <v>63</v>
      </c>
    </row>
    <row r="90" ht="14.25" customHeight="1">
      <c r="A90" s="1" t="s">
        <v>567</v>
      </c>
      <c r="B90" s="1"/>
      <c r="C90" s="2" t="s">
        <v>561</v>
      </c>
      <c r="D90" s="2" t="s">
        <v>561</v>
      </c>
      <c r="E90" s="1"/>
      <c r="F90" s="2">
        <v>59.0</v>
      </c>
      <c r="G90" s="3" t="s">
        <v>133</v>
      </c>
      <c r="H90" s="3"/>
      <c r="I90" s="11" t="s">
        <v>133</v>
      </c>
      <c r="J90" s="3"/>
      <c r="K90" s="3"/>
      <c r="L90" s="3" t="s">
        <v>506</v>
      </c>
      <c r="M90" s="2">
        <v>1.0</v>
      </c>
      <c r="N90" s="2">
        <v>0.0</v>
      </c>
      <c r="O90" s="2">
        <v>2.0</v>
      </c>
      <c r="P90" s="2">
        <v>0.0</v>
      </c>
      <c r="Q90" s="2">
        <v>0.0</v>
      </c>
      <c r="R90" s="2">
        <f>'נתוני זיהוי זאבים (2)'!$N90+'נתוני זיהוי זאבים (2)'!$O90+'נתוני זיהוי זאבים (2)'!$P90+'נתוני זיהוי זאבים (2)'!$Q90</f>
        <v>2</v>
      </c>
      <c r="S90" s="3" t="s">
        <v>568</v>
      </c>
      <c r="T90" s="3" t="s">
        <v>569</v>
      </c>
      <c r="U90" s="3" t="s">
        <v>570</v>
      </c>
      <c r="V90" s="3" t="s">
        <v>39</v>
      </c>
      <c r="W90" s="3" t="s">
        <v>39</v>
      </c>
      <c r="X90" s="3" t="s">
        <v>39</v>
      </c>
      <c r="Y90" s="3" t="s">
        <v>571</v>
      </c>
      <c r="Z90" s="3" t="s">
        <v>54</v>
      </c>
      <c r="AA90" s="3" t="s">
        <v>63</v>
      </c>
      <c r="AB90" s="3" t="s">
        <v>44</v>
      </c>
    </row>
    <row r="91" ht="14.25" customHeight="1">
      <c r="A91" s="1" t="s">
        <v>572</v>
      </c>
      <c r="B91" s="1"/>
      <c r="C91" s="2" t="s">
        <v>561</v>
      </c>
      <c r="D91" s="2" t="s">
        <v>561</v>
      </c>
      <c r="E91" s="1"/>
      <c r="F91" s="2">
        <v>59.0</v>
      </c>
      <c r="G91" s="3" t="s">
        <v>57</v>
      </c>
      <c r="H91" s="3"/>
      <c r="I91" s="23"/>
      <c r="J91" s="23" t="s">
        <v>257</v>
      </c>
      <c r="K91" s="3"/>
      <c r="L91" s="3" t="s">
        <v>562</v>
      </c>
      <c r="M91" s="2">
        <v>1.0</v>
      </c>
      <c r="N91" s="2">
        <v>1.0</v>
      </c>
      <c r="O91" s="2">
        <v>0.0</v>
      </c>
      <c r="P91" s="2">
        <v>0.0</v>
      </c>
      <c r="Q91" s="2">
        <v>1.0</v>
      </c>
      <c r="R91" s="2">
        <f>'נתוני זיהוי זאבים (2)'!$N91+'נתוני זיהוי זאבים (2)'!$O91+'נתוני זיהוי זאבים (2)'!$P91+'נתוני זיהוי זאבים (2)'!$Q91</f>
        <v>2</v>
      </c>
      <c r="S91" s="3" t="s">
        <v>573</v>
      </c>
      <c r="T91" s="3" t="s">
        <v>574</v>
      </c>
      <c r="U91" s="3" t="s">
        <v>574</v>
      </c>
      <c r="V91" s="3" t="s">
        <v>39</v>
      </c>
      <c r="W91" s="3" t="s">
        <v>40</v>
      </c>
      <c r="X91" s="3" t="s">
        <v>39</v>
      </c>
      <c r="Y91" s="3" t="s">
        <v>186</v>
      </c>
      <c r="Z91" s="3" t="s">
        <v>54</v>
      </c>
      <c r="AA91" s="3" t="s">
        <v>211</v>
      </c>
      <c r="AB91" s="3" t="s">
        <v>44</v>
      </c>
    </row>
    <row r="92" ht="14.25" customHeight="1">
      <c r="A92" s="1" t="s">
        <v>575</v>
      </c>
      <c r="B92" s="1"/>
      <c r="C92" s="2" t="s">
        <v>576</v>
      </c>
      <c r="D92" s="2" t="s">
        <v>577</v>
      </c>
      <c r="E92" s="1"/>
      <c r="F92" s="2" t="s">
        <v>578</v>
      </c>
      <c r="G92" s="3" t="s">
        <v>133</v>
      </c>
      <c r="H92" s="3"/>
      <c r="I92" s="11" t="s">
        <v>133</v>
      </c>
      <c r="J92" s="3"/>
      <c r="K92" s="3"/>
      <c r="L92" s="3" t="s">
        <v>579</v>
      </c>
      <c r="M92" s="2">
        <v>1.0</v>
      </c>
      <c r="N92" s="2">
        <v>0.0</v>
      </c>
      <c r="O92" s="2">
        <v>4.0</v>
      </c>
      <c r="P92" s="2">
        <v>0.0</v>
      </c>
      <c r="Q92" s="2">
        <v>0.0</v>
      </c>
      <c r="R92" s="2">
        <f>'נתוני זיהוי זאבים (2)'!$N92+'נתוני זיהוי זאבים (2)'!$O92+'נתוני זיהוי זאבים (2)'!$P92+'נתוני זיהוי זאבים (2)'!$Q92</f>
        <v>4</v>
      </c>
      <c r="S92" s="3" t="s">
        <v>580</v>
      </c>
      <c r="T92" s="3" t="s">
        <v>581</v>
      </c>
      <c r="U92" s="3" t="s">
        <v>582</v>
      </c>
      <c r="V92" s="3" t="s">
        <v>252</v>
      </c>
      <c r="W92" s="3" t="s">
        <v>224</v>
      </c>
      <c r="X92" s="3" t="s">
        <v>252</v>
      </c>
      <c r="Y92" s="3" t="s">
        <v>194</v>
      </c>
      <c r="Z92" s="3" t="s">
        <v>42</v>
      </c>
      <c r="AA92" s="3" t="s">
        <v>55</v>
      </c>
      <c r="AB92" s="3" t="s">
        <v>63</v>
      </c>
    </row>
    <row r="93" ht="14.25" customHeight="1">
      <c r="A93" s="1" t="s">
        <v>583</v>
      </c>
      <c r="B93" s="1"/>
      <c r="C93" s="2" t="s">
        <v>577</v>
      </c>
      <c r="D93" s="2" t="s">
        <v>577</v>
      </c>
      <c r="E93" s="1"/>
      <c r="F93" s="2">
        <v>37.0</v>
      </c>
      <c r="G93" s="3" t="s">
        <v>133</v>
      </c>
      <c r="H93" s="3"/>
      <c r="I93" s="11" t="s">
        <v>133</v>
      </c>
      <c r="J93" s="3"/>
      <c r="K93" s="3"/>
      <c r="L93" s="3" t="s">
        <v>584</v>
      </c>
      <c r="M93" s="2">
        <v>1.0</v>
      </c>
      <c r="N93" s="2">
        <v>2.0</v>
      </c>
      <c r="O93" s="2">
        <v>0.0</v>
      </c>
      <c r="P93" s="2">
        <v>1.0</v>
      </c>
      <c r="Q93" s="2">
        <v>0.0</v>
      </c>
      <c r="R93" s="2">
        <f>'נתוני זיהוי זאבים (2)'!$N93+'נתוני זיהוי זאבים (2)'!$O93+'נתוני זיהוי זאבים (2)'!$P93+'נתוני זיהוי זאבים (2)'!$Q93</f>
        <v>3</v>
      </c>
      <c r="S93" s="3" t="s">
        <v>585</v>
      </c>
      <c r="T93" s="3" t="s">
        <v>175</v>
      </c>
      <c r="U93" s="3" t="s">
        <v>586</v>
      </c>
      <c r="V93" s="3" t="s">
        <v>85</v>
      </c>
      <c r="W93" s="3" t="s">
        <v>199</v>
      </c>
      <c r="X93" s="3" t="s">
        <v>199</v>
      </c>
      <c r="Y93" s="3" t="s">
        <v>587</v>
      </c>
      <c r="Z93" s="3" t="s">
        <v>54</v>
      </c>
      <c r="AA93" s="3" t="s">
        <v>588</v>
      </c>
      <c r="AB93" s="3" t="s">
        <v>44</v>
      </c>
    </row>
    <row r="94" ht="14.25" customHeight="1">
      <c r="A94" s="1" t="s">
        <v>589</v>
      </c>
      <c r="B94" s="1"/>
      <c r="C94" s="2" t="s">
        <v>590</v>
      </c>
      <c r="D94" s="2"/>
      <c r="E94" s="1"/>
      <c r="F94" s="2" t="s">
        <v>591</v>
      </c>
      <c r="G94" s="3"/>
      <c r="H94" s="3"/>
      <c r="I94" s="3"/>
      <c r="J94" s="3"/>
      <c r="K94" s="3" t="s">
        <v>592</v>
      </c>
      <c r="L94" s="3">
        <v>5.2022</v>
      </c>
      <c r="M94" s="2">
        <v>1.0</v>
      </c>
      <c r="N94" s="2">
        <v>1.0</v>
      </c>
      <c r="O94" s="2">
        <v>0.0</v>
      </c>
      <c r="P94" s="2">
        <v>1.0</v>
      </c>
      <c r="Q94" s="2">
        <v>1.0</v>
      </c>
      <c r="R94" s="2">
        <f>'נתוני זיהוי זאבים (2)'!$N94+'נתוני זיהוי זאבים (2)'!$O94+'נתוני זיהוי זאבים (2)'!$P94+'נתוני זיהוי זאבים (2)'!$Q94</f>
        <v>3</v>
      </c>
      <c r="S94" s="3" t="s">
        <v>593</v>
      </c>
      <c r="T94" s="3" t="s">
        <v>525</v>
      </c>
      <c r="U94" s="3" t="s">
        <v>525</v>
      </c>
      <c r="V94" s="3" t="s">
        <v>39</v>
      </c>
      <c r="W94" s="3" t="s">
        <v>295</v>
      </c>
      <c r="X94" s="3" t="s">
        <v>155</v>
      </c>
      <c r="Y94" s="3" t="s">
        <v>582</v>
      </c>
      <c r="Z94" s="3" t="s">
        <v>75</v>
      </c>
      <c r="AA94" s="3" t="s">
        <v>39</v>
      </c>
      <c r="AB94" s="3" t="s">
        <v>39</v>
      </c>
    </row>
    <row r="95" ht="14.25" customHeight="1">
      <c r="A95" s="90" t="s">
        <v>594</v>
      </c>
      <c r="B95" s="90"/>
      <c r="C95" s="91" t="s">
        <v>595</v>
      </c>
      <c r="D95" s="91"/>
      <c r="E95" s="90" t="s">
        <v>68</v>
      </c>
      <c r="F95" s="91" t="s">
        <v>591</v>
      </c>
      <c r="G95" s="92"/>
      <c r="H95" s="92"/>
      <c r="I95" s="93" t="s">
        <v>595</v>
      </c>
      <c r="J95" s="92"/>
      <c r="K95" s="92" t="s">
        <v>596</v>
      </c>
      <c r="L95" s="92">
        <v>9.2021</v>
      </c>
      <c r="M95" s="91">
        <v>1.0</v>
      </c>
      <c r="N95" s="91">
        <v>1.0</v>
      </c>
      <c r="O95" s="91">
        <v>0.0</v>
      </c>
      <c r="P95" s="91">
        <v>1.0</v>
      </c>
      <c r="Q95" s="91">
        <v>0.0</v>
      </c>
      <c r="R95" s="91">
        <f>'נתוני זיהוי זאבים (2)'!$N95+'נתוני זיהוי זאבים (2)'!$O95+'נתוני זיהוי זאבים (2)'!$P95+'נתוני זיהוי זאבים (2)'!$Q95</f>
        <v>2</v>
      </c>
      <c r="S95" s="92" t="s">
        <v>597</v>
      </c>
      <c r="T95" s="92" t="s">
        <v>428</v>
      </c>
      <c r="U95" s="92" t="s">
        <v>185</v>
      </c>
      <c r="V95" s="92" t="s">
        <v>155</v>
      </c>
      <c r="W95" s="92" t="s">
        <v>598</v>
      </c>
      <c r="X95" s="92" t="s">
        <v>598</v>
      </c>
      <c r="Y95" s="92" t="s">
        <v>41</v>
      </c>
      <c r="Z95" s="92" t="s">
        <v>42</v>
      </c>
      <c r="AA95" s="92" t="s">
        <v>63</v>
      </c>
      <c r="AB95" s="92" t="s">
        <v>39</v>
      </c>
      <c r="AC95" s="94"/>
      <c r="AD95" s="94"/>
      <c r="AE95" s="94"/>
      <c r="AF95" s="94"/>
    </row>
    <row r="96" ht="14.25" customHeight="1">
      <c r="A96" s="1" t="s">
        <v>599</v>
      </c>
      <c r="B96" s="1"/>
      <c r="C96" s="2" t="s">
        <v>590</v>
      </c>
      <c r="D96" s="2"/>
      <c r="E96" s="1"/>
      <c r="F96" s="2" t="s">
        <v>600</v>
      </c>
      <c r="G96" s="3"/>
      <c r="H96" s="3"/>
      <c r="I96" s="3"/>
      <c r="J96" s="3"/>
      <c r="K96" s="3" t="s">
        <v>601</v>
      </c>
      <c r="L96" s="3" t="s">
        <v>602</v>
      </c>
      <c r="M96" s="2">
        <v>1.0</v>
      </c>
      <c r="N96" s="2">
        <v>1.0</v>
      </c>
      <c r="O96" s="2">
        <v>0.0</v>
      </c>
      <c r="P96" s="2">
        <v>1.0</v>
      </c>
      <c r="Q96" s="2">
        <v>0.0</v>
      </c>
      <c r="R96" s="2">
        <f>'נתוני זיהוי זאבים (2)'!$N96+'נתוני זיהוי זאבים (2)'!$O96+'נתוני זיהוי זאבים (2)'!$P96+'נתוני זיהוי זאבים (2)'!$Q96</f>
        <v>2</v>
      </c>
      <c r="S96" s="3" t="s">
        <v>603</v>
      </c>
      <c r="T96" s="3" t="s">
        <v>525</v>
      </c>
      <c r="U96" s="3" t="s">
        <v>525</v>
      </c>
      <c r="V96" s="3" t="s">
        <v>39</v>
      </c>
      <c r="W96" s="3" t="s">
        <v>39</v>
      </c>
      <c r="X96" s="3" t="s">
        <v>39</v>
      </c>
      <c r="Y96" s="3" t="s">
        <v>109</v>
      </c>
      <c r="Z96" s="3" t="s">
        <v>42</v>
      </c>
      <c r="AA96" s="3" t="s">
        <v>588</v>
      </c>
      <c r="AB96" s="3" t="s">
        <v>63</v>
      </c>
    </row>
    <row r="97" ht="14.25" customHeight="1">
      <c r="A97" s="1" t="s">
        <v>604</v>
      </c>
      <c r="B97" s="1"/>
      <c r="C97" s="2" t="s">
        <v>590</v>
      </c>
      <c r="D97" s="2"/>
      <c r="E97" s="1"/>
      <c r="F97" s="2" t="s">
        <v>600</v>
      </c>
      <c r="G97" s="3"/>
      <c r="H97" s="3"/>
      <c r="I97" s="3"/>
      <c r="J97" s="23" t="s">
        <v>257</v>
      </c>
      <c r="K97" s="95" t="s">
        <v>605</v>
      </c>
      <c r="L97" s="3">
        <v>2.2017</v>
      </c>
      <c r="M97" s="2">
        <v>1.0</v>
      </c>
      <c r="N97" s="2">
        <v>0.0</v>
      </c>
      <c r="O97" s="2">
        <v>0.0</v>
      </c>
      <c r="P97" s="2">
        <v>1.0</v>
      </c>
      <c r="Q97" s="2">
        <v>0.0</v>
      </c>
      <c r="R97" s="2">
        <f>'נתוני זיהוי זאבים (2)'!$N97+'נתוני זיהוי זאבים (2)'!$O97+'נתוני זיהוי זאבים (2)'!$P97+'נתוני זיהוי זאבים (2)'!$Q97</f>
        <v>1</v>
      </c>
      <c r="S97" s="3" t="s">
        <v>606</v>
      </c>
      <c r="T97" s="3" t="s">
        <v>607</v>
      </c>
      <c r="U97" s="3" t="s">
        <v>525</v>
      </c>
      <c r="V97" s="3" t="s">
        <v>210</v>
      </c>
      <c r="W97" s="3" t="s">
        <v>224</v>
      </c>
      <c r="X97" s="3" t="s">
        <v>155</v>
      </c>
      <c r="Y97" s="3" t="s">
        <v>194</v>
      </c>
      <c r="Z97" s="3" t="s">
        <v>40</v>
      </c>
      <c r="AA97" s="3" t="s">
        <v>39</v>
      </c>
      <c r="AB97" s="3" t="s">
        <v>39</v>
      </c>
    </row>
    <row r="98" ht="14.25" customHeight="1">
      <c r="A98" s="1" t="s">
        <v>608</v>
      </c>
      <c r="B98" s="1"/>
      <c r="C98" s="2" t="s">
        <v>590</v>
      </c>
      <c r="D98" s="2"/>
      <c r="E98" s="1"/>
      <c r="F98" s="2" t="s">
        <v>600</v>
      </c>
      <c r="G98" s="3"/>
      <c r="H98" s="3"/>
      <c r="I98" s="3"/>
      <c r="J98" s="14" t="s">
        <v>257</v>
      </c>
      <c r="K98" s="3" t="s">
        <v>609</v>
      </c>
      <c r="L98" s="3">
        <v>2.2017</v>
      </c>
      <c r="M98" s="2">
        <v>1.0</v>
      </c>
      <c r="N98" s="2">
        <v>0.0</v>
      </c>
      <c r="O98" s="2">
        <v>0.0</v>
      </c>
      <c r="P98" s="2">
        <v>1.0</v>
      </c>
      <c r="Q98" s="2">
        <v>0.0</v>
      </c>
      <c r="R98" s="2">
        <f>'נתוני זיהוי זאבים (2)'!$N98+'נתוני זיהוי זאבים (2)'!$O98+'נתוני זיהוי זאבים (2)'!$P98+'נתוני זיהוי זאבים (2)'!$Q98</f>
        <v>1</v>
      </c>
      <c r="S98" s="3" t="s">
        <v>610</v>
      </c>
      <c r="T98" s="3" t="s">
        <v>175</v>
      </c>
      <c r="U98" s="3" t="s">
        <v>285</v>
      </c>
      <c r="V98" s="3" t="s">
        <v>155</v>
      </c>
      <c r="W98" s="3" t="s">
        <v>199</v>
      </c>
      <c r="X98" s="3" t="s">
        <v>199</v>
      </c>
      <c r="Y98" s="3" t="s">
        <v>194</v>
      </c>
      <c r="Z98" s="3" t="s">
        <v>40</v>
      </c>
      <c r="AA98" s="3" t="s">
        <v>39</v>
      </c>
      <c r="AB98" s="3" t="s">
        <v>39</v>
      </c>
    </row>
    <row r="99" ht="14.25" customHeight="1">
      <c r="A99" s="1" t="s">
        <v>611</v>
      </c>
      <c r="B99" s="1"/>
      <c r="C99" s="2" t="s">
        <v>590</v>
      </c>
      <c r="D99" s="2"/>
      <c r="E99" s="1"/>
      <c r="F99" s="2" t="s">
        <v>600</v>
      </c>
      <c r="G99" s="3"/>
      <c r="H99" s="3"/>
      <c r="I99" s="3"/>
      <c r="J99" s="3"/>
      <c r="K99" s="3" t="s">
        <v>612</v>
      </c>
      <c r="L99" s="3">
        <v>1.2017</v>
      </c>
      <c r="M99" s="2">
        <v>1.0</v>
      </c>
      <c r="N99" s="2">
        <v>1.0</v>
      </c>
      <c r="O99" s="2">
        <v>0.0</v>
      </c>
      <c r="P99" s="2">
        <v>0.0</v>
      </c>
      <c r="Q99" s="2">
        <v>0.0</v>
      </c>
      <c r="R99" s="2">
        <f>'נתוני זיהוי זאבים (2)'!$N99+'נתוני זיהוי זאבים (2)'!$O99+'נתוני זיהוי זאבים (2)'!$P99+'נתוני זיהוי זאבים (2)'!$Q99</f>
        <v>1</v>
      </c>
      <c r="S99" s="3" t="s">
        <v>613</v>
      </c>
      <c r="T99" s="3" t="s">
        <v>525</v>
      </c>
      <c r="U99" s="3" t="s">
        <v>525</v>
      </c>
      <c r="V99" s="3" t="s">
        <v>39</v>
      </c>
      <c r="W99" s="3" t="s">
        <v>39</v>
      </c>
      <c r="X99" s="3" t="s">
        <v>39</v>
      </c>
      <c r="Y99" s="3" t="s">
        <v>262</v>
      </c>
      <c r="Z99" s="3" t="s">
        <v>87</v>
      </c>
      <c r="AA99" s="3" t="s">
        <v>42</v>
      </c>
      <c r="AB99" s="3" t="s">
        <v>85</v>
      </c>
    </row>
    <row r="100" ht="14.25" customHeight="1">
      <c r="A100" s="1" t="s">
        <v>614</v>
      </c>
      <c r="B100" s="1"/>
      <c r="C100" s="2" t="s">
        <v>590</v>
      </c>
      <c r="D100" s="2"/>
      <c r="E100" s="1"/>
      <c r="F100" s="2" t="s">
        <v>591</v>
      </c>
      <c r="G100" s="3"/>
      <c r="H100" s="3"/>
      <c r="I100" s="3"/>
      <c r="J100" s="3"/>
      <c r="K100" s="3" t="s">
        <v>615</v>
      </c>
      <c r="L100" s="3">
        <v>12.2011</v>
      </c>
      <c r="M100" s="2">
        <v>1.0</v>
      </c>
      <c r="N100" s="2">
        <v>0.0</v>
      </c>
      <c r="O100" s="2">
        <v>1.0</v>
      </c>
      <c r="P100" s="2">
        <v>0.0</v>
      </c>
      <c r="Q100" s="2">
        <v>0.0</v>
      </c>
      <c r="R100" s="2">
        <f>'נתוני זיהוי זאבים (2)'!$N100+'נתוני זיהוי זאבים (2)'!$O100+'נתוני זיהוי זאבים (2)'!$P100+'נתוני זיהוי זאבים (2)'!$Q100</f>
        <v>1</v>
      </c>
      <c r="S100" s="3" t="s">
        <v>616</v>
      </c>
      <c r="T100" s="3" t="s">
        <v>50</v>
      </c>
      <c r="U100" s="3" t="s">
        <v>314</v>
      </c>
      <c r="V100" s="3" t="s">
        <v>39</v>
      </c>
      <c r="W100" s="3" t="s">
        <v>199</v>
      </c>
      <c r="X100" s="3" t="s">
        <v>199</v>
      </c>
      <c r="Y100" s="27" t="s">
        <v>546</v>
      </c>
      <c r="Z100" s="3" t="s">
        <v>54</v>
      </c>
      <c r="AA100" s="3" t="s">
        <v>44</v>
      </c>
      <c r="AB100" s="3" t="s">
        <v>85</v>
      </c>
    </row>
    <row r="101" ht="14.25" customHeight="1">
      <c r="A101" s="1" t="s">
        <v>617</v>
      </c>
      <c r="B101" s="1"/>
      <c r="C101" s="2" t="s">
        <v>590</v>
      </c>
      <c r="D101" s="2"/>
      <c r="E101" s="1"/>
      <c r="F101" s="2" t="s">
        <v>591</v>
      </c>
      <c r="G101" s="3"/>
      <c r="H101" s="3"/>
      <c r="I101" s="3"/>
      <c r="J101" s="3"/>
      <c r="K101" s="3" t="s">
        <v>618</v>
      </c>
      <c r="L101" s="3">
        <v>8.2019</v>
      </c>
      <c r="M101" s="2">
        <v>1.0</v>
      </c>
      <c r="N101" s="2">
        <v>0.0</v>
      </c>
      <c r="O101" s="2">
        <v>2.0</v>
      </c>
      <c r="P101" s="2">
        <v>0.0</v>
      </c>
      <c r="Q101" s="2">
        <v>0.0</v>
      </c>
      <c r="R101" s="2">
        <f>'נתוני זיהוי זאבים (2)'!$N101+'נתוני זיהוי זאבים (2)'!$O101+'נתוני זיהוי זאבים (2)'!$P101+'נתוני זיהוי זאבים (2)'!$Q101</f>
        <v>2</v>
      </c>
      <c r="S101" s="3" t="s">
        <v>619</v>
      </c>
      <c r="T101" s="27" t="s">
        <v>620</v>
      </c>
      <c r="U101" s="3" t="s">
        <v>65</v>
      </c>
      <c r="V101" s="3" t="s">
        <v>218</v>
      </c>
      <c r="W101" s="3" t="s">
        <v>199</v>
      </c>
      <c r="X101" s="3" t="s">
        <v>199</v>
      </c>
      <c r="Y101" s="3" t="s">
        <v>558</v>
      </c>
      <c r="Z101" s="3" t="s">
        <v>54</v>
      </c>
      <c r="AA101" s="3" t="s">
        <v>350</v>
      </c>
      <c r="AB101" s="3" t="s">
        <v>44</v>
      </c>
    </row>
    <row r="102" ht="15.0" customHeight="1">
      <c r="A102" s="2" t="s">
        <v>621</v>
      </c>
      <c r="B102" s="3"/>
      <c r="C102" s="2" t="s">
        <v>590</v>
      </c>
      <c r="D102" s="3"/>
      <c r="E102" s="3"/>
      <c r="F102" s="3" t="s">
        <v>622</v>
      </c>
      <c r="G102" s="3"/>
      <c r="H102" s="3"/>
      <c r="I102" s="3"/>
      <c r="J102" s="3"/>
      <c r="K102" s="3"/>
      <c r="L102" s="3">
        <v>7.2025</v>
      </c>
      <c r="M102" s="2">
        <v>1.0</v>
      </c>
      <c r="N102" s="2">
        <v>2.0</v>
      </c>
      <c r="O102" s="2">
        <v>0.0</v>
      </c>
      <c r="P102" s="2">
        <v>0.0</v>
      </c>
      <c r="Q102" s="2">
        <v>0.0</v>
      </c>
      <c r="R102" s="2">
        <f>'נתוני זיהוי זאבים (2)'!$N102+'נתוני זיהוי זאבים (2)'!$O102+'נתוני זיהוי זאבים (2)'!$P102+'נתוני זיהוי זאבים (2)'!$Q102</f>
        <v>2</v>
      </c>
      <c r="S102" s="3" t="s">
        <v>623</v>
      </c>
      <c r="T102" s="3" t="s">
        <v>624</v>
      </c>
      <c r="U102" s="3" t="s">
        <v>574</v>
      </c>
      <c r="V102" s="3" t="s">
        <v>39</v>
      </c>
      <c r="W102" s="3" t="s">
        <v>39</v>
      </c>
      <c r="X102" s="3" t="s">
        <v>39</v>
      </c>
      <c r="Y102" s="3" t="s">
        <v>574</v>
      </c>
      <c r="Z102" s="3" t="s">
        <v>39</v>
      </c>
      <c r="AA102" s="3" t="s">
        <v>63</v>
      </c>
      <c r="AB102" s="3" t="s">
        <v>39</v>
      </c>
    </row>
    <row r="103" ht="15.0" customHeight="1">
      <c r="A103" s="2" t="s">
        <v>625</v>
      </c>
      <c r="B103" s="3"/>
      <c r="C103" s="2" t="s">
        <v>590</v>
      </c>
      <c r="D103" s="3"/>
      <c r="E103" s="3"/>
      <c r="F103" s="3" t="s">
        <v>626</v>
      </c>
      <c r="G103" s="3"/>
      <c r="H103" s="3"/>
      <c r="I103" s="3"/>
      <c r="J103" s="3"/>
      <c r="K103" s="3"/>
      <c r="L103" s="3">
        <v>8.2025</v>
      </c>
      <c r="M103" s="2">
        <v>1.0</v>
      </c>
      <c r="N103" s="2">
        <v>1.0</v>
      </c>
      <c r="O103" s="2">
        <v>0.0</v>
      </c>
      <c r="P103" s="2">
        <v>1.0</v>
      </c>
      <c r="Q103" s="2">
        <v>0.0</v>
      </c>
      <c r="R103" s="2">
        <f>'נתוני זיהוי זאבים (2)'!$N103+'נתוני זיהוי זאבים (2)'!$O103+'נתוני זיהוי זאבים (2)'!$P103+'נתוני זיהוי זאבים (2)'!$Q103</f>
        <v>2</v>
      </c>
      <c r="S103" s="3" t="s">
        <v>627</v>
      </c>
      <c r="T103" s="3" t="s">
        <v>628</v>
      </c>
      <c r="U103" s="3" t="s">
        <v>185</v>
      </c>
      <c r="V103" s="3" t="s">
        <v>155</v>
      </c>
      <c r="W103" s="3" t="s">
        <v>268</v>
      </c>
      <c r="X103" s="3" t="s">
        <v>268</v>
      </c>
      <c r="Y103" s="3" t="s">
        <v>148</v>
      </c>
      <c r="Z103" s="3" t="s">
        <v>54</v>
      </c>
      <c r="AA103" s="3" t="s">
        <v>588</v>
      </c>
      <c r="AB103" s="3" t="s">
        <v>44</v>
      </c>
    </row>
    <row r="104" ht="15.75" customHeight="1">
      <c r="A104" s="2" t="s">
        <v>629</v>
      </c>
      <c r="B104" s="3"/>
      <c r="C104" s="2" t="s">
        <v>590</v>
      </c>
      <c r="D104" s="3"/>
      <c r="E104" s="3"/>
      <c r="F104" s="3" t="s">
        <v>630</v>
      </c>
      <c r="G104" s="3"/>
      <c r="H104" s="3"/>
      <c r="I104" s="3"/>
      <c r="J104" s="3"/>
      <c r="K104" s="3" t="s">
        <v>631</v>
      </c>
      <c r="L104" s="3">
        <v>1.2023</v>
      </c>
      <c r="M104" s="96">
        <v>1.0</v>
      </c>
      <c r="N104" s="96">
        <v>1.0</v>
      </c>
      <c r="O104" s="96">
        <v>0.0</v>
      </c>
      <c r="P104" s="96">
        <v>1.0</v>
      </c>
      <c r="Q104" s="96">
        <v>0.0</v>
      </c>
      <c r="R104" s="2">
        <f>'נתוני זיהוי זאבים (2)'!$N104+'נתוני זיהוי זאבים (2)'!$O104+'נתוני זיהוי זאבים (2)'!$P104+'נתוני זיהוי זאבים (2)'!$Q104</f>
        <v>2</v>
      </c>
      <c r="S104" s="3" t="s">
        <v>632</v>
      </c>
      <c r="T104" s="3" t="s">
        <v>633</v>
      </c>
      <c r="U104" s="3" t="s">
        <v>634</v>
      </c>
      <c r="V104" s="3" t="s">
        <v>52</v>
      </c>
      <c r="W104" s="3" t="s">
        <v>325</v>
      </c>
      <c r="X104" s="3" t="s">
        <v>147</v>
      </c>
      <c r="Y104" s="3" t="s">
        <v>635</v>
      </c>
      <c r="Z104" s="3" t="s">
        <v>75</v>
      </c>
      <c r="AA104" s="3" t="s">
        <v>39</v>
      </c>
      <c r="AB104" s="3" t="s">
        <v>39</v>
      </c>
    </row>
    <row r="105" ht="14.25" customHeight="1">
      <c r="A105" s="1"/>
      <c r="B105" s="1"/>
      <c r="C105" s="2"/>
      <c r="D105" s="2"/>
      <c r="E105" s="1"/>
      <c r="F105" s="2"/>
      <c r="G105" s="3"/>
      <c r="H105" s="3"/>
      <c r="I105" s="3"/>
      <c r="J105" s="3"/>
      <c r="K105" s="3"/>
      <c r="L105" s="3"/>
      <c r="M105" s="2"/>
      <c r="N105" s="2"/>
      <c r="O105" s="2"/>
      <c r="P105" s="2"/>
      <c r="Q105" s="2"/>
      <c r="R105" s="2">
        <f>'נתוני זיהוי זאבים (2)'!$N105+'נתוני זיהוי זאבים (2)'!$O105+'נתוני זיהוי זאבים (2)'!$P105+'נתוני זיהוי זאבים (2)'!$Q105</f>
        <v>0</v>
      </c>
      <c r="S105" s="3"/>
      <c r="T105" s="27"/>
      <c r="U105" s="3"/>
      <c r="V105" s="3"/>
      <c r="W105" s="3"/>
      <c r="X105" s="3"/>
      <c r="Y105" s="3"/>
      <c r="Z105" s="3"/>
      <c r="AA105" s="3"/>
      <c r="AB105" s="3"/>
    </row>
    <row r="106" ht="14.25" customHeight="1">
      <c r="A106" s="97"/>
      <c r="B106" s="97"/>
      <c r="C106" s="98"/>
      <c r="D106" s="98"/>
      <c r="E106" s="97"/>
      <c r="F106" s="98"/>
      <c r="K106" s="32"/>
      <c r="M106" s="98"/>
      <c r="N106" s="98"/>
      <c r="O106" s="98"/>
      <c r="P106" s="98"/>
      <c r="Q106" s="32"/>
      <c r="R106" s="32"/>
      <c r="S106" s="32"/>
      <c r="T106" s="32"/>
      <c r="U106" s="32"/>
    </row>
    <row r="107" ht="14.25" customHeight="1">
      <c r="A107" s="97"/>
      <c r="B107" s="97"/>
      <c r="C107" s="98"/>
      <c r="D107" s="98"/>
      <c r="E107" s="97"/>
      <c r="F107" s="98"/>
      <c r="K107" s="32"/>
      <c r="L107" s="32"/>
      <c r="M107" s="98"/>
      <c r="N107" s="98"/>
      <c r="O107" s="98"/>
      <c r="P107" s="98"/>
      <c r="Q107" s="32"/>
      <c r="R107" s="32"/>
      <c r="S107" s="32"/>
      <c r="T107" s="32"/>
      <c r="U107" s="32"/>
    </row>
    <row r="108" ht="14.25" customHeight="1">
      <c r="A108" s="97"/>
      <c r="B108" s="97"/>
      <c r="C108" s="98"/>
      <c r="D108" s="98"/>
      <c r="E108" s="97"/>
      <c r="F108" s="98"/>
      <c r="K108" s="32"/>
      <c r="L108" s="32"/>
      <c r="M108" s="98"/>
      <c r="N108" s="98"/>
      <c r="O108" s="98"/>
      <c r="P108" s="98"/>
      <c r="Q108" s="32"/>
      <c r="R108" s="32"/>
      <c r="S108" s="32"/>
      <c r="T108" s="32"/>
      <c r="U108" s="32"/>
    </row>
    <row r="109" ht="14.25" customHeight="1">
      <c r="A109" s="97"/>
      <c r="B109" s="97"/>
      <c r="C109" s="98"/>
      <c r="D109" s="98"/>
      <c r="E109" s="97"/>
      <c r="F109" s="98"/>
      <c r="K109" s="32"/>
      <c r="L109" s="32"/>
      <c r="M109" s="98"/>
      <c r="N109" s="98"/>
      <c r="O109" s="98"/>
      <c r="P109" s="98"/>
      <c r="Q109" s="32"/>
      <c r="R109" s="32"/>
      <c r="S109" s="32"/>
      <c r="T109" s="32"/>
      <c r="U109" s="32"/>
    </row>
    <row r="110" ht="14.25" customHeight="1">
      <c r="A110" s="97"/>
      <c r="B110" s="97"/>
      <c r="C110" s="98"/>
      <c r="D110" s="98"/>
      <c r="E110" s="97"/>
      <c r="F110" s="98"/>
      <c r="K110" s="32"/>
      <c r="L110" s="32"/>
      <c r="M110" s="98"/>
      <c r="N110" s="98"/>
      <c r="O110" s="98"/>
      <c r="P110" s="98"/>
      <c r="Q110" s="32"/>
      <c r="R110" s="32"/>
      <c r="S110" s="32"/>
      <c r="T110" s="32"/>
      <c r="U110" s="32"/>
    </row>
    <row r="111" ht="14.25" customHeight="1">
      <c r="A111" s="97"/>
      <c r="B111" s="97"/>
      <c r="C111" s="98"/>
      <c r="D111" s="98"/>
      <c r="E111" s="97"/>
      <c r="F111" s="98"/>
      <c r="K111" s="32"/>
      <c r="L111" s="32"/>
      <c r="M111" s="98"/>
      <c r="N111" s="98"/>
      <c r="O111" s="98"/>
      <c r="P111" s="98"/>
      <c r="Q111" s="32"/>
      <c r="R111" s="32"/>
      <c r="S111" s="32"/>
      <c r="T111" s="32"/>
      <c r="U111" s="32"/>
    </row>
    <row r="112" ht="14.25" customHeight="1">
      <c r="A112" s="97"/>
      <c r="B112" s="97"/>
      <c r="C112" s="98"/>
      <c r="D112" s="98"/>
      <c r="E112" s="97"/>
      <c r="F112" s="98"/>
      <c r="K112" s="32"/>
      <c r="L112" s="32"/>
      <c r="M112" s="98"/>
      <c r="N112" s="98"/>
      <c r="O112" s="98"/>
      <c r="P112" s="98"/>
      <c r="Q112" s="32"/>
      <c r="R112" s="32"/>
      <c r="S112" s="32"/>
      <c r="T112" s="32"/>
      <c r="U112" s="32"/>
    </row>
    <row r="113" ht="14.25" customHeight="1">
      <c r="A113" s="97"/>
      <c r="B113" s="97"/>
      <c r="C113" s="98"/>
      <c r="D113" s="98"/>
      <c r="E113" s="97"/>
      <c r="F113" s="98"/>
      <c r="K113" s="32"/>
      <c r="L113" s="32"/>
      <c r="M113" s="98"/>
      <c r="N113" s="98"/>
      <c r="O113" s="98"/>
      <c r="P113" s="98"/>
      <c r="Q113" s="32"/>
      <c r="R113" s="32"/>
      <c r="S113" s="32"/>
      <c r="T113" s="32"/>
      <c r="U113" s="32"/>
    </row>
    <row r="114" ht="14.25" customHeight="1">
      <c r="A114" s="97"/>
      <c r="B114" s="97"/>
      <c r="C114" s="98"/>
      <c r="D114" s="98"/>
      <c r="E114" s="97"/>
      <c r="F114" s="98"/>
      <c r="K114" s="32"/>
      <c r="L114" s="32"/>
      <c r="M114" s="98"/>
      <c r="N114" s="98"/>
      <c r="O114" s="98"/>
      <c r="P114" s="98"/>
      <c r="Q114" s="32"/>
      <c r="R114" s="32"/>
      <c r="S114" s="32"/>
      <c r="T114" s="32"/>
      <c r="U114" s="32"/>
    </row>
    <row r="115" ht="14.25" customHeight="1">
      <c r="A115" s="97"/>
      <c r="B115" s="97"/>
      <c r="C115" s="98"/>
      <c r="D115" s="98"/>
      <c r="E115" s="97"/>
      <c r="F115" s="98"/>
      <c r="K115" s="32"/>
      <c r="L115" s="32"/>
      <c r="M115" s="98"/>
      <c r="N115" s="98"/>
      <c r="O115" s="98"/>
      <c r="P115" s="98"/>
      <c r="Q115" s="32"/>
      <c r="R115" s="32"/>
      <c r="S115" s="32"/>
      <c r="T115" s="32"/>
      <c r="U115" s="32"/>
    </row>
    <row r="116" ht="14.25" customHeight="1">
      <c r="A116" s="97"/>
      <c r="B116" s="97"/>
      <c r="C116" s="98"/>
      <c r="D116" s="98"/>
      <c r="E116" s="97"/>
      <c r="F116" s="98"/>
      <c r="K116" s="32"/>
      <c r="L116" s="32"/>
      <c r="M116" s="98"/>
      <c r="N116" s="98"/>
      <c r="O116" s="98"/>
      <c r="P116" s="98"/>
      <c r="Q116" s="32"/>
      <c r="R116" s="32"/>
      <c r="S116" s="32"/>
      <c r="T116" s="32"/>
      <c r="U116" s="32"/>
    </row>
    <row r="117" ht="14.25" customHeight="1">
      <c r="A117" s="97"/>
      <c r="B117" s="97"/>
      <c r="C117" s="98"/>
      <c r="D117" s="98"/>
      <c r="E117" s="97"/>
      <c r="F117" s="98"/>
      <c r="K117" s="32"/>
      <c r="L117" s="32"/>
      <c r="M117" s="98"/>
      <c r="N117" s="98"/>
      <c r="O117" s="98"/>
      <c r="P117" s="98"/>
      <c r="Q117" s="32"/>
      <c r="R117" s="32"/>
      <c r="S117" s="32"/>
      <c r="T117" s="32"/>
      <c r="U117" s="32"/>
    </row>
    <row r="118" ht="14.25" customHeight="1">
      <c r="A118" s="97"/>
      <c r="B118" s="97"/>
      <c r="C118" s="98"/>
      <c r="D118" s="98"/>
      <c r="E118" s="97"/>
      <c r="F118" s="98"/>
      <c r="K118" s="32"/>
      <c r="L118" s="32"/>
      <c r="M118" s="98"/>
      <c r="N118" s="98"/>
      <c r="O118" s="98"/>
      <c r="P118" s="98"/>
      <c r="Q118" s="32"/>
      <c r="R118" s="32"/>
      <c r="S118" s="32"/>
      <c r="T118" s="32"/>
      <c r="U118" s="32"/>
    </row>
    <row r="119" ht="14.25" customHeight="1">
      <c r="A119" s="97"/>
      <c r="B119" s="97"/>
      <c r="C119" s="98"/>
      <c r="D119" s="98"/>
      <c r="E119" s="97"/>
      <c r="F119" s="98"/>
      <c r="K119" s="32"/>
      <c r="L119" s="32"/>
      <c r="M119" s="98"/>
      <c r="N119" s="98"/>
      <c r="O119" s="98"/>
      <c r="P119" s="98"/>
      <c r="Q119" s="32"/>
      <c r="R119" s="32"/>
      <c r="S119" s="32"/>
      <c r="T119" s="32"/>
      <c r="U119" s="32"/>
    </row>
    <row r="120" ht="14.25" customHeight="1">
      <c r="A120" s="97"/>
      <c r="B120" s="97"/>
      <c r="C120" s="98"/>
      <c r="D120" s="98"/>
      <c r="E120" s="97"/>
      <c r="F120" s="98"/>
      <c r="K120" s="32"/>
      <c r="L120" s="32"/>
      <c r="M120" s="98"/>
      <c r="N120" s="98"/>
      <c r="O120" s="98"/>
      <c r="P120" s="98"/>
      <c r="Q120" s="32"/>
      <c r="R120" s="32"/>
      <c r="S120" s="32"/>
      <c r="T120" s="32"/>
      <c r="U120" s="32"/>
    </row>
    <row r="121" ht="14.25" customHeight="1">
      <c r="A121" s="97"/>
      <c r="B121" s="97"/>
      <c r="C121" s="98"/>
      <c r="D121" s="98"/>
      <c r="E121" s="97"/>
      <c r="F121" s="98"/>
      <c r="K121" s="32"/>
      <c r="L121" s="32"/>
      <c r="M121" s="98"/>
      <c r="N121" s="98"/>
      <c r="O121" s="98"/>
      <c r="P121" s="98"/>
      <c r="Q121" s="32"/>
      <c r="R121" s="32"/>
      <c r="S121" s="32"/>
      <c r="T121" s="32"/>
      <c r="U121" s="32"/>
    </row>
    <row r="122" ht="14.25" customHeight="1">
      <c r="A122" s="97"/>
      <c r="B122" s="97"/>
      <c r="C122" s="98"/>
      <c r="D122" s="98"/>
      <c r="E122" s="97"/>
      <c r="F122" s="98"/>
      <c r="K122" s="32"/>
      <c r="L122" s="32"/>
      <c r="M122" s="98"/>
      <c r="N122" s="98"/>
      <c r="O122" s="98"/>
      <c r="P122" s="98"/>
      <c r="Q122" s="32"/>
      <c r="R122" s="32"/>
      <c r="S122" s="32"/>
      <c r="T122" s="32"/>
      <c r="U122" s="32"/>
    </row>
    <row r="123" ht="14.25" customHeight="1">
      <c r="A123" s="97"/>
      <c r="B123" s="97"/>
      <c r="C123" s="98"/>
      <c r="D123" s="98"/>
      <c r="E123" s="97"/>
      <c r="F123" s="98"/>
      <c r="K123" s="32"/>
      <c r="L123" s="32"/>
      <c r="M123" s="98"/>
      <c r="N123" s="98"/>
      <c r="O123" s="98"/>
      <c r="P123" s="98"/>
      <c r="Q123" s="32"/>
      <c r="R123" s="32"/>
      <c r="S123" s="32"/>
      <c r="T123" s="32"/>
      <c r="U123" s="32"/>
    </row>
    <row r="124" ht="14.25" customHeight="1">
      <c r="A124" s="97"/>
      <c r="B124" s="97"/>
      <c r="C124" s="98"/>
      <c r="D124" s="98"/>
      <c r="E124" s="97"/>
      <c r="F124" s="98"/>
      <c r="K124" s="32"/>
      <c r="L124" s="32"/>
      <c r="M124" s="98"/>
      <c r="N124" s="98"/>
      <c r="O124" s="98"/>
      <c r="P124" s="98"/>
      <c r="Q124" s="32"/>
      <c r="R124" s="32"/>
      <c r="S124" s="32"/>
      <c r="T124" s="32"/>
      <c r="U124" s="32"/>
    </row>
    <row r="125" ht="14.25" customHeight="1">
      <c r="A125" s="97"/>
      <c r="B125" s="97"/>
      <c r="C125" s="98"/>
      <c r="D125" s="98"/>
      <c r="E125" s="97"/>
      <c r="F125" s="98"/>
      <c r="K125" s="32"/>
      <c r="L125" s="32"/>
      <c r="M125" s="98"/>
      <c r="N125" s="98"/>
      <c r="O125" s="98"/>
      <c r="P125" s="98"/>
      <c r="Q125" s="32"/>
      <c r="R125" s="32"/>
      <c r="S125" s="32"/>
      <c r="T125" s="32"/>
      <c r="U125" s="32"/>
    </row>
    <row r="126" ht="14.25" customHeight="1">
      <c r="A126" s="97"/>
      <c r="B126" s="97"/>
      <c r="C126" s="98"/>
      <c r="D126" s="98"/>
      <c r="E126" s="97"/>
      <c r="F126" s="98"/>
      <c r="K126" s="32"/>
      <c r="L126" s="32"/>
      <c r="M126" s="98"/>
      <c r="N126" s="98"/>
      <c r="O126" s="98"/>
      <c r="P126" s="98"/>
      <c r="Q126" s="32"/>
      <c r="R126" s="32"/>
      <c r="S126" s="32"/>
      <c r="T126" s="32"/>
      <c r="U126" s="32"/>
    </row>
    <row r="127" ht="14.25" customHeight="1">
      <c r="A127" s="97"/>
      <c r="B127" s="97"/>
      <c r="C127" s="98"/>
      <c r="D127" s="98"/>
      <c r="E127" s="97"/>
      <c r="F127" s="98"/>
      <c r="K127" s="32"/>
      <c r="L127" s="32"/>
      <c r="M127" s="98"/>
      <c r="N127" s="98"/>
      <c r="O127" s="98"/>
      <c r="P127" s="98"/>
      <c r="Q127" s="32"/>
      <c r="R127" s="32"/>
      <c r="S127" s="32"/>
      <c r="T127" s="32"/>
      <c r="U127" s="32"/>
    </row>
    <row r="128" ht="14.25" customHeight="1">
      <c r="A128" s="97"/>
      <c r="B128" s="97"/>
      <c r="C128" s="98"/>
      <c r="D128" s="98"/>
      <c r="E128" s="97"/>
      <c r="F128" s="98"/>
      <c r="K128" s="32"/>
      <c r="L128" s="32"/>
      <c r="M128" s="98"/>
      <c r="N128" s="98"/>
      <c r="O128" s="98"/>
      <c r="P128" s="98"/>
      <c r="Q128" s="32"/>
      <c r="R128" s="32"/>
      <c r="S128" s="32"/>
      <c r="T128" s="32"/>
      <c r="U128" s="32"/>
    </row>
    <row r="129" ht="14.25" customHeight="1">
      <c r="A129" s="97"/>
      <c r="B129" s="97"/>
      <c r="C129" s="98"/>
      <c r="D129" s="98"/>
      <c r="E129" s="97"/>
      <c r="F129" s="98"/>
      <c r="K129" s="32"/>
      <c r="L129" s="32"/>
      <c r="M129" s="98"/>
      <c r="N129" s="98"/>
      <c r="O129" s="98"/>
      <c r="P129" s="98"/>
      <c r="Q129" s="32"/>
      <c r="R129" s="32"/>
      <c r="S129" s="32"/>
      <c r="T129" s="32"/>
      <c r="U129" s="32"/>
    </row>
    <row r="130" ht="14.25" customHeight="1">
      <c r="A130" s="97"/>
      <c r="B130" s="97"/>
      <c r="C130" s="98"/>
      <c r="D130" s="98"/>
      <c r="E130" s="97"/>
      <c r="F130" s="98"/>
      <c r="K130" s="32"/>
      <c r="L130" s="32"/>
      <c r="M130" s="98"/>
      <c r="N130" s="98"/>
      <c r="O130" s="98"/>
      <c r="P130" s="98"/>
      <c r="Q130" s="32"/>
      <c r="R130" s="32"/>
      <c r="S130" s="32"/>
      <c r="T130" s="32"/>
      <c r="U130" s="32"/>
    </row>
    <row r="131" ht="14.25" customHeight="1">
      <c r="A131" s="97"/>
      <c r="B131" s="97"/>
      <c r="C131" s="98"/>
      <c r="D131" s="98"/>
      <c r="E131" s="97"/>
      <c r="F131" s="98"/>
      <c r="K131" s="32"/>
      <c r="L131" s="32"/>
      <c r="M131" s="98"/>
      <c r="N131" s="98"/>
      <c r="O131" s="98"/>
      <c r="P131" s="98"/>
      <c r="Q131" s="32"/>
      <c r="R131" s="32"/>
      <c r="S131" s="32"/>
      <c r="T131" s="32"/>
      <c r="U131" s="32"/>
    </row>
    <row r="132" ht="14.25" customHeight="1">
      <c r="A132" s="97"/>
      <c r="B132" s="97"/>
      <c r="C132" s="98"/>
      <c r="D132" s="98"/>
      <c r="E132" s="97"/>
      <c r="F132" s="98"/>
      <c r="K132" s="32"/>
      <c r="L132" s="32"/>
      <c r="M132" s="98"/>
      <c r="N132" s="98"/>
      <c r="O132" s="98"/>
      <c r="P132" s="98"/>
      <c r="Q132" s="32"/>
      <c r="R132" s="32"/>
      <c r="S132" s="32"/>
      <c r="T132" s="32"/>
      <c r="U132" s="32"/>
    </row>
    <row r="133" ht="14.25" customHeight="1">
      <c r="A133" s="97"/>
      <c r="B133" s="97"/>
      <c r="C133" s="98"/>
      <c r="D133" s="98"/>
      <c r="E133" s="97"/>
      <c r="F133" s="98"/>
      <c r="K133" s="32"/>
      <c r="L133" s="32"/>
      <c r="M133" s="98"/>
      <c r="N133" s="98"/>
      <c r="O133" s="98"/>
      <c r="P133" s="98"/>
      <c r="Q133" s="32"/>
      <c r="R133" s="32"/>
      <c r="S133" s="32"/>
      <c r="T133" s="32"/>
      <c r="U133" s="32"/>
    </row>
    <row r="134" ht="14.25" customHeight="1">
      <c r="A134" s="97"/>
      <c r="B134" s="97"/>
      <c r="C134" s="98"/>
      <c r="D134" s="98"/>
      <c r="E134" s="97"/>
      <c r="F134" s="98"/>
      <c r="K134" s="32"/>
      <c r="L134" s="32"/>
      <c r="M134" s="98"/>
      <c r="N134" s="98"/>
      <c r="O134" s="98"/>
      <c r="P134" s="98"/>
      <c r="Q134" s="32"/>
      <c r="R134" s="32"/>
      <c r="S134" s="32"/>
      <c r="T134" s="32"/>
      <c r="U134" s="32"/>
    </row>
    <row r="135" ht="14.25" customHeight="1">
      <c r="A135" s="97"/>
      <c r="B135" s="97"/>
      <c r="C135" s="98"/>
      <c r="D135" s="98"/>
      <c r="E135" s="97"/>
      <c r="F135" s="98"/>
      <c r="K135" s="32"/>
      <c r="L135" s="32"/>
      <c r="M135" s="98"/>
      <c r="N135" s="98"/>
      <c r="O135" s="98"/>
      <c r="P135" s="98"/>
      <c r="Q135" s="32"/>
      <c r="R135" s="32"/>
      <c r="S135" s="32"/>
      <c r="T135" s="32"/>
      <c r="U135" s="32"/>
    </row>
    <row r="136" ht="14.25" customHeight="1">
      <c r="A136" s="97"/>
      <c r="B136" s="97"/>
      <c r="C136" s="98"/>
      <c r="D136" s="98"/>
      <c r="E136" s="97"/>
      <c r="F136" s="98"/>
      <c r="K136" s="32"/>
      <c r="L136" s="32"/>
      <c r="M136" s="98"/>
      <c r="N136" s="98"/>
      <c r="O136" s="98"/>
      <c r="P136" s="98"/>
      <c r="Q136" s="32"/>
      <c r="R136" s="32"/>
      <c r="S136" s="32"/>
      <c r="T136" s="32"/>
      <c r="U136" s="32"/>
    </row>
    <row r="137" ht="14.25" customHeight="1">
      <c r="A137" s="97"/>
      <c r="B137" s="97"/>
      <c r="C137" s="98"/>
      <c r="D137" s="98"/>
      <c r="E137" s="97"/>
      <c r="F137" s="98"/>
      <c r="K137" s="32"/>
      <c r="L137" s="32"/>
      <c r="M137" s="98"/>
      <c r="N137" s="98"/>
      <c r="O137" s="98"/>
      <c r="P137" s="98"/>
      <c r="Q137" s="32"/>
      <c r="R137" s="32"/>
      <c r="S137" s="32"/>
      <c r="T137" s="32"/>
      <c r="U137" s="32"/>
    </row>
    <row r="138" ht="14.25" customHeight="1">
      <c r="A138" s="97"/>
      <c r="B138" s="97"/>
      <c r="C138" s="98"/>
      <c r="D138" s="98"/>
      <c r="E138" s="97"/>
      <c r="F138" s="98"/>
      <c r="K138" s="32"/>
      <c r="L138" s="32"/>
      <c r="M138" s="98"/>
      <c r="N138" s="98"/>
      <c r="O138" s="98"/>
      <c r="P138" s="98"/>
      <c r="Q138" s="32"/>
      <c r="R138" s="32"/>
      <c r="S138" s="32"/>
      <c r="T138" s="32"/>
      <c r="U138" s="32"/>
    </row>
    <row r="139" ht="14.25" customHeight="1">
      <c r="A139" s="97"/>
      <c r="B139" s="97"/>
      <c r="C139" s="98"/>
      <c r="D139" s="98"/>
      <c r="E139" s="97"/>
      <c r="F139" s="98"/>
      <c r="K139" s="32"/>
      <c r="L139" s="32"/>
      <c r="M139" s="98"/>
      <c r="N139" s="98"/>
      <c r="O139" s="98"/>
      <c r="P139" s="98"/>
      <c r="Q139" s="32"/>
      <c r="R139" s="32"/>
      <c r="S139" s="32"/>
      <c r="T139" s="32"/>
      <c r="U139" s="32"/>
    </row>
    <row r="140" ht="14.25" customHeight="1">
      <c r="A140" s="97"/>
      <c r="B140" s="97"/>
      <c r="C140" s="98"/>
      <c r="D140" s="98"/>
      <c r="E140" s="97"/>
      <c r="F140" s="98"/>
      <c r="K140" s="32"/>
      <c r="L140" s="32"/>
      <c r="M140" s="98"/>
      <c r="N140" s="98"/>
      <c r="O140" s="98"/>
      <c r="P140" s="98"/>
      <c r="Q140" s="32"/>
      <c r="R140" s="32"/>
      <c r="S140" s="32"/>
      <c r="T140" s="32"/>
      <c r="U140" s="32"/>
    </row>
    <row r="141" ht="14.25" customHeight="1">
      <c r="A141" s="97"/>
      <c r="B141" s="97"/>
      <c r="C141" s="98"/>
      <c r="D141" s="98"/>
      <c r="E141" s="97"/>
      <c r="F141" s="98"/>
      <c r="K141" s="32"/>
      <c r="L141" s="32"/>
      <c r="M141" s="98"/>
      <c r="N141" s="98"/>
      <c r="O141" s="98"/>
      <c r="P141" s="98"/>
      <c r="Q141" s="32"/>
      <c r="R141" s="32"/>
      <c r="S141" s="32"/>
      <c r="T141" s="32"/>
      <c r="U141" s="32"/>
    </row>
    <row r="142" ht="14.25" customHeight="1">
      <c r="A142" s="97"/>
      <c r="B142" s="97"/>
      <c r="C142" s="98"/>
      <c r="D142" s="98"/>
      <c r="E142" s="97"/>
      <c r="F142" s="98"/>
      <c r="K142" s="32"/>
      <c r="L142" s="32"/>
      <c r="M142" s="98"/>
      <c r="N142" s="98"/>
      <c r="O142" s="98"/>
      <c r="P142" s="98"/>
      <c r="Q142" s="32"/>
      <c r="R142" s="32"/>
      <c r="S142" s="32"/>
      <c r="T142" s="32"/>
      <c r="U142" s="32"/>
    </row>
    <row r="143" ht="14.25" customHeight="1">
      <c r="A143" s="97"/>
      <c r="B143" s="97"/>
      <c r="C143" s="98"/>
      <c r="D143" s="98"/>
      <c r="E143" s="97"/>
      <c r="F143" s="98"/>
      <c r="K143" s="32"/>
      <c r="L143" s="32"/>
      <c r="M143" s="98"/>
      <c r="N143" s="98"/>
      <c r="O143" s="98"/>
      <c r="P143" s="98"/>
      <c r="Q143" s="32"/>
      <c r="R143" s="32"/>
      <c r="S143" s="32"/>
      <c r="T143" s="32"/>
      <c r="U143" s="32"/>
    </row>
    <row r="144" ht="14.25" customHeight="1">
      <c r="A144" s="97"/>
      <c r="B144" s="97"/>
      <c r="C144" s="98"/>
      <c r="D144" s="98"/>
      <c r="E144" s="97"/>
      <c r="F144" s="98"/>
      <c r="K144" s="32"/>
      <c r="L144" s="32"/>
      <c r="M144" s="98"/>
      <c r="N144" s="98"/>
      <c r="O144" s="98"/>
      <c r="P144" s="98"/>
      <c r="Q144" s="32"/>
      <c r="R144" s="32"/>
      <c r="S144" s="32"/>
      <c r="T144" s="32"/>
      <c r="U144" s="32"/>
    </row>
    <row r="145" ht="14.25" customHeight="1">
      <c r="A145" s="97"/>
      <c r="B145" s="97"/>
      <c r="C145" s="98"/>
      <c r="D145" s="98"/>
      <c r="E145" s="97"/>
      <c r="F145" s="98"/>
      <c r="K145" s="32"/>
      <c r="L145" s="32"/>
      <c r="M145" s="98"/>
      <c r="N145" s="98"/>
      <c r="O145" s="98"/>
      <c r="P145" s="98"/>
      <c r="Q145" s="32"/>
      <c r="R145" s="32"/>
      <c r="S145" s="32"/>
      <c r="T145" s="32"/>
      <c r="U145" s="32"/>
    </row>
    <row r="146" ht="14.25" customHeight="1">
      <c r="A146" s="97"/>
      <c r="B146" s="97"/>
      <c r="C146" s="98"/>
      <c r="D146" s="98"/>
      <c r="E146" s="97"/>
      <c r="F146" s="98"/>
      <c r="K146" s="32"/>
      <c r="L146" s="32"/>
      <c r="M146" s="98"/>
      <c r="N146" s="98"/>
      <c r="O146" s="98"/>
      <c r="P146" s="98"/>
      <c r="Q146" s="32"/>
      <c r="R146" s="32"/>
      <c r="S146" s="32"/>
      <c r="T146" s="32"/>
      <c r="U146" s="32"/>
    </row>
    <row r="147" ht="14.25" customHeight="1">
      <c r="A147" s="97"/>
      <c r="B147" s="97"/>
      <c r="C147" s="98"/>
      <c r="D147" s="98"/>
      <c r="E147" s="97"/>
      <c r="F147" s="98"/>
      <c r="K147" s="32"/>
      <c r="L147" s="32"/>
      <c r="M147" s="98"/>
      <c r="N147" s="98"/>
      <c r="O147" s="98"/>
      <c r="P147" s="98"/>
      <c r="Q147" s="32"/>
      <c r="R147" s="32"/>
      <c r="S147" s="32"/>
      <c r="T147" s="32"/>
      <c r="U147" s="32"/>
    </row>
    <row r="148" ht="14.25" customHeight="1">
      <c r="A148" s="97"/>
      <c r="B148" s="97"/>
      <c r="C148" s="98"/>
      <c r="D148" s="98"/>
      <c r="E148" s="97"/>
      <c r="F148" s="98"/>
      <c r="K148" s="32"/>
      <c r="L148" s="32"/>
      <c r="M148" s="98"/>
      <c r="N148" s="98"/>
      <c r="O148" s="98"/>
      <c r="P148" s="98"/>
      <c r="Q148" s="32"/>
      <c r="R148" s="32"/>
      <c r="S148" s="32"/>
      <c r="T148" s="32"/>
      <c r="U148" s="32"/>
    </row>
    <row r="149" ht="14.25" customHeight="1">
      <c r="A149" s="97"/>
      <c r="B149" s="97"/>
      <c r="C149" s="98"/>
      <c r="D149" s="98"/>
      <c r="E149" s="97"/>
      <c r="F149" s="98"/>
      <c r="K149" s="32"/>
      <c r="L149" s="32"/>
      <c r="M149" s="98"/>
      <c r="N149" s="98"/>
      <c r="O149" s="98"/>
      <c r="P149" s="98"/>
      <c r="Q149" s="32"/>
      <c r="R149" s="32"/>
      <c r="S149" s="32"/>
      <c r="T149" s="32"/>
      <c r="U149" s="32"/>
    </row>
    <row r="150" ht="14.25" customHeight="1">
      <c r="A150" s="97"/>
      <c r="B150" s="97"/>
      <c r="C150" s="98"/>
      <c r="D150" s="98"/>
      <c r="E150" s="97"/>
      <c r="F150" s="98"/>
      <c r="K150" s="32"/>
      <c r="L150" s="32"/>
      <c r="M150" s="98"/>
      <c r="N150" s="98"/>
      <c r="O150" s="98"/>
      <c r="P150" s="98"/>
      <c r="Q150" s="32"/>
      <c r="R150" s="32"/>
      <c r="S150" s="32"/>
      <c r="T150" s="32"/>
      <c r="U150" s="32"/>
    </row>
    <row r="151" ht="14.25" customHeight="1">
      <c r="A151" s="97"/>
      <c r="B151" s="97"/>
      <c r="C151" s="98"/>
      <c r="D151" s="98"/>
      <c r="E151" s="97"/>
      <c r="F151" s="98"/>
      <c r="K151" s="32"/>
      <c r="L151" s="32"/>
      <c r="M151" s="98"/>
      <c r="N151" s="98"/>
      <c r="O151" s="98"/>
      <c r="P151" s="98"/>
      <c r="Q151" s="32"/>
      <c r="R151" s="32"/>
      <c r="S151" s="32"/>
      <c r="T151" s="32"/>
      <c r="U151" s="32"/>
    </row>
    <row r="152" ht="14.25" customHeight="1">
      <c r="A152" s="97"/>
      <c r="B152" s="97"/>
      <c r="C152" s="98"/>
      <c r="D152" s="98"/>
      <c r="E152" s="97"/>
      <c r="F152" s="98"/>
      <c r="K152" s="32"/>
      <c r="L152" s="32"/>
      <c r="M152" s="98"/>
      <c r="N152" s="98"/>
      <c r="O152" s="98"/>
      <c r="P152" s="98"/>
      <c r="Q152" s="32"/>
      <c r="R152" s="32"/>
      <c r="S152" s="32"/>
      <c r="T152" s="32"/>
      <c r="U152" s="32"/>
    </row>
    <row r="153" ht="14.25" customHeight="1">
      <c r="A153" s="97"/>
      <c r="B153" s="97"/>
      <c r="C153" s="98"/>
      <c r="D153" s="98"/>
      <c r="E153" s="97"/>
      <c r="F153" s="98"/>
      <c r="K153" s="32"/>
      <c r="L153" s="32"/>
      <c r="M153" s="98"/>
      <c r="N153" s="98"/>
      <c r="O153" s="98"/>
      <c r="P153" s="98"/>
      <c r="Q153" s="32"/>
      <c r="R153" s="32"/>
      <c r="S153" s="32"/>
      <c r="T153" s="32"/>
      <c r="U153" s="32"/>
    </row>
    <row r="154" ht="14.25" customHeight="1">
      <c r="A154" s="97"/>
      <c r="B154" s="97"/>
      <c r="C154" s="98"/>
      <c r="D154" s="98"/>
      <c r="E154" s="97"/>
      <c r="F154" s="98"/>
      <c r="K154" s="32"/>
      <c r="L154" s="32"/>
      <c r="M154" s="98"/>
      <c r="N154" s="98"/>
      <c r="O154" s="98"/>
      <c r="P154" s="98"/>
      <c r="Q154" s="32"/>
      <c r="R154" s="32"/>
      <c r="S154" s="32"/>
      <c r="T154" s="32"/>
      <c r="U154" s="32"/>
    </row>
    <row r="155" ht="14.25" customHeight="1">
      <c r="A155" s="97"/>
      <c r="B155" s="97"/>
      <c r="C155" s="98"/>
      <c r="D155" s="98"/>
      <c r="E155" s="97"/>
      <c r="F155" s="98"/>
      <c r="K155" s="32"/>
      <c r="L155" s="32"/>
      <c r="M155" s="98"/>
      <c r="N155" s="98"/>
      <c r="O155" s="98"/>
      <c r="P155" s="98"/>
      <c r="Q155" s="32"/>
      <c r="R155" s="32"/>
      <c r="S155" s="32"/>
      <c r="T155" s="32"/>
      <c r="U155" s="32"/>
    </row>
    <row r="156" ht="14.25" customHeight="1">
      <c r="A156" s="97"/>
      <c r="B156" s="97"/>
      <c r="C156" s="98"/>
      <c r="D156" s="98"/>
      <c r="E156" s="97"/>
      <c r="F156" s="98"/>
      <c r="K156" s="32"/>
      <c r="L156" s="32"/>
      <c r="M156" s="98"/>
      <c r="N156" s="98"/>
      <c r="O156" s="98"/>
      <c r="P156" s="98"/>
      <c r="Q156" s="32"/>
      <c r="R156" s="32"/>
      <c r="S156" s="32"/>
      <c r="T156" s="32"/>
      <c r="U156" s="32"/>
    </row>
    <row r="157" ht="14.25" customHeight="1">
      <c r="A157" s="97"/>
      <c r="B157" s="97"/>
      <c r="C157" s="98"/>
      <c r="D157" s="98"/>
      <c r="E157" s="97"/>
      <c r="F157" s="98"/>
      <c r="K157" s="32"/>
      <c r="L157" s="32"/>
      <c r="M157" s="98"/>
      <c r="N157" s="98"/>
      <c r="O157" s="98"/>
      <c r="P157" s="98"/>
      <c r="Q157" s="32"/>
      <c r="R157" s="32"/>
      <c r="S157" s="32"/>
      <c r="T157" s="32"/>
      <c r="U157" s="32"/>
    </row>
    <row r="158" ht="14.25" customHeight="1">
      <c r="A158" s="97"/>
      <c r="B158" s="97"/>
      <c r="C158" s="98"/>
      <c r="D158" s="98"/>
      <c r="E158" s="97"/>
      <c r="F158" s="98"/>
      <c r="K158" s="32"/>
      <c r="L158" s="32"/>
      <c r="M158" s="98"/>
      <c r="N158" s="98"/>
      <c r="O158" s="98"/>
      <c r="P158" s="98"/>
      <c r="Q158" s="32"/>
      <c r="R158" s="32"/>
      <c r="S158" s="32"/>
      <c r="T158" s="32"/>
      <c r="U158" s="32"/>
    </row>
    <row r="159" ht="14.25" customHeight="1">
      <c r="A159" s="97"/>
      <c r="B159" s="97"/>
      <c r="C159" s="98"/>
      <c r="D159" s="98"/>
      <c r="E159" s="97"/>
      <c r="F159" s="98"/>
      <c r="K159" s="32"/>
      <c r="L159" s="32"/>
      <c r="M159" s="98"/>
      <c r="N159" s="98"/>
      <c r="O159" s="98"/>
      <c r="P159" s="98"/>
      <c r="Q159" s="32"/>
      <c r="R159" s="32"/>
      <c r="S159" s="32"/>
      <c r="T159" s="32"/>
      <c r="U159" s="32"/>
    </row>
    <row r="160" ht="14.25" customHeight="1">
      <c r="A160" s="97"/>
      <c r="B160" s="97"/>
      <c r="C160" s="98"/>
      <c r="D160" s="98"/>
      <c r="E160" s="97"/>
      <c r="F160" s="98"/>
      <c r="K160" s="32"/>
      <c r="L160" s="32"/>
      <c r="M160" s="98"/>
      <c r="N160" s="98"/>
      <c r="O160" s="98"/>
      <c r="P160" s="98"/>
      <c r="Q160" s="32"/>
      <c r="R160" s="32"/>
      <c r="S160" s="32"/>
      <c r="T160" s="32"/>
      <c r="U160" s="32"/>
    </row>
    <row r="161" ht="14.25" customHeight="1">
      <c r="A161" s="97"/>
      <c r="B161" s="97"/>
      <c r="C161" s="98"/>
      <c r="D161" s="98"/>
      <c r="E161" s="97"/>
      <c r="F161" s="98"/>
      <c r="K161" s="32"/>
      <c r="L161" s="32"/>
      <c r="M161" s="98"/>
      <c r="N161" s="98"/>
      <c r="O161" s="98"/>
      <c r="P161" s="98"/>
      <c r="Q161" s="32"/>
      <c r="R161" s="32"/>
      <c r="S161" s="32"/>
      <c r="T161" s="32"/>
      <c r="U161" s="32"/>
    </row>
    <row r="162" ht="14.25" customHeight="1">
      <c r="A162" s="97"/>
      <c r="B162" s="97"/>
      <c r="C162" s="98"/>
      <c r="D162" s="98"/>
      <c r="E162" s="97"/>
      <c r="F162" s="98"/>
      <c r="K162" s="32"/>
      <c r="L162" s="32"/>
      <c r="M162" s="98"/>
      <c r="N162" s="98"/>
      <c r="O162" s="98"/>
      <c r="P162" s="98"/>
      <c r="Q162" s="32"/>
      <c r="R162" s="32"/>
      <c r="S162" s="32"/>
      <c r="T162" s="32"/>
      <c r="U162" s="32"/>
    </row>
    <row r="163" ht="14.25" customHeight="1">
      <c r="A163" s="97"/>
      <c r="B163" s="97"/>
      <c r="C163" s="98"/>
      <c r="D163" s="98"/>
      <c r="E163" s="97"/>
      <c r="F163" s="98"/>
      <c r="K163" s="32"/>
      <c r="L163" s="32"/>
      <c r="M163" s="98"/>
      <c r="N163" s="98"/>
      <c r="O163" s="98"/>
      <c r="P163" s="98"/>
      <c r="Q163" s="32"/>
      <c r="R163" s="32"/>
      <c r="S163" s="32"/>
      <c r="T163" s="32"/>
      <c r="U163" s="32"/>
    </row>
    <row r="164" ht="14.25" customHeight="1">
      <c r="A164" s="97"/>
      <c r="B164" s="97"/>
      <c r="C164" s="98"/>
      <c r="D164" s="98"/>
      <c r="E164" s="97"/>
      <c r="F164" s="98"/>
      <c r="K164" s="32"/>
      <c r="L164" s="32"/>
      <c r="M164" s="98"/>
      <c r="N164" s="98"/>
      <c r="O164" s="98"/>
      <c r="P164" s="98"/>
      <c r="Q164" s="32"/>
      <c r="R164" s="32"/>
      <c r="S164" s="32"/>
      <c r="T164" s="32"/>
      <c r="U164" s="32"/>
    </row>
    <row r="165" ht="14.25" customHeight="1">
      <c r="A165" s="97"/>
      <c r="B165" s="97"/>
      <c r="C165" s="98"/>
      <c r="D165" s="98"/>
      <c r="E165" s="97"/>
      <c r="F165" s="98"/>
      <c r="K165" s="32"/>
      <c r="L165" s="32"/>
      <c r="M165" s="98"/>
      <c r="N165" s="98"/>
      <c r="O165" s="98"/>
      <c r="P165" s="98"/>
      <c r="Q165" s="32"/>
      <c r="R165" s="32"/>
      <c r="S165" s="32"/>
      <c r="T165" s="32"/>
      <c r="U165" s="32"/>
    </row>
    <row r="166" ht="14.25" customHeight="1">
      <c r="A166" s="97"/>
      <c r="B166" s="97"/>
      <c r="C166" s="98"/>
      <c r="D166" s="98"/>
      <c r="E166" s="97"/>
      <c r="F166" s="98"/>
      <c r="K166" s="32"/>
      <c r="L166" s="32"/>
      <c r="M166" s="98"/>
      <c r="N166" s="98"/>
      <c r="O166" s="98"/>
      <c r="P166" s="98"/>
      <c r="Q166" s="32"/>
      <c r="R166" s="32"/>
      <c r="S166" s="32"/>
      <c r="T166" s="32"/>
      <c r="U166" s="32"/>
    </row>
    <row r="167" ht="14.25" customHeight="1">
      <c r="A167" s="97"/>
      <c r="B167" s="97"/>
      <c r="C167" s="98"/>
      <c r="D167" s="98"/>
      <c r="E167" s="97"/>
      <c r="F167" s="98"/>
      <c r="K167" s="32"/>
      <c r="L167" s="32"/>
      <c r="M167" s="98"/>
      <c r="N167" s="98"/>
      <c r="O167" s="98"/>
      <c r="P167" s="98"/>
      <c r="Q167" s="32"/>
      <c r="R167" s="32"/>
      <c r="S167" s="32"/>
      <c r="T167" s="32"/>
      <c r="U167" s="32"/>
    </row>
    <row r="168" ht="14.25" customHeight="1">
      <c r="A168" s="97"/>
      <c r="B168" s="97"/>
      <c r="C168" s="98"/>
      <c r="D168" s="98"/>
      <c r="E168" s="97"/>
      <c r="F168" s="98"/>
      <c r="K168" s="32"/>
      <c r="L168" s="32"/>
      <c r="M168" s="98"/>
      <c r="N168" s="98"/>
      <c r="O168" s="98"/>
      <c r="P168" s="98"/>
      <c r="Q168" s="32"/>
      <c r="R168" s="32"/>
      <c r="S168" s="32"/>
      <c r="T168" s="32"/>
      <c r="U168" s="32"/>
    </row>
    <row r="169" ht="14.25" customHeight="1">
      <c r="A169" s="97"/>
      <c r="B169" s="97"/>
      <c r="C169" s="98"/>
      <c r="D169" s="98"/>
      <c r="E169" s="97"/>
      <c r="F169" s="98"/>
      <c r="K169" s="32"/>
      <c r="L169" s="32"/>
      <c r="M169" s="98"/>
      <c r="N169" s="98"/>
      <c r="O169" s="98"/>
      <c r="P169" s="98"/>
      <c r="Q169" s="32"/>
      <c r="R169" s="32"/>
      <c r="S169" s="32"/>
      <c r="T169" s="32"/>
      <c r="U169" s="32"/>
    </row>
    <row r="170" ht="14.25" customHeight="1">
      <c r="A170" s="97"/>
      <c r="B170" s="97"/>
      <c r="C170" s="98"/>
      <c r="D170" s="98"/>
      <c r="E170" s="97"/>
      <c r="F170" s="98"/>
      <c r="K170" s="32"/>
      <c r="L170" s="32"/>
      <c r="M170" s="98"/>
      <c r="N170" s="98"/>
      <c r="O170" s="98"/>
      <c r="P170" s="98"/>
      <c r="Q170" s="32"/>
      <c r="R170" s="32"/>
      <c r="S170" s="32"/>
      <c r="T170" s="32"/>
      <c r="U170" s="32"/>
    </row>
    <row r="171" ht="14.25" customHeight="1">
      <c r="A171" s="97"/>
      <c r="B171" s="97"/>
      <c r="C171" s="98"/>
      <c r="D171" s="98"/>
      <c r="E171" s="97"/>
      <c r="F171" s="98"/>
      <c r="K171" s="32"/>
      <c r="L171" s="32"/>
      <c r="M171" s="98"/>
      <c r="N171" s="98"/>
      <c r="O171" s="98"/>
      <c r="P171" s="98"/>
      <c r="Q171" s="32"/>
      <c r="R171" s="32"/>
      <c r="S171" s="32"/>
      <c r="T171" s="32"/>
      <c r="U171" s="32"/>
    </row>
    <row r="172" ht="14.25" customHeight="1">
      <c r="A172" s="97"/>
      <c r="B172" s="97"/>
      <c r="C172" s="98"/>
      <c r="D172" s="98"/>
      <c r="E172" s="97"/>
      <c r="F172" s="98"/>
      <c r="K172" s="32"/>
      <c r="L172" s="32"/>
      <c r="M172" s="98"/>
      <c r="N172" s="98"/>
      <c r="O172" s="98"/>
      <c r="P172" s="98"/>
      <c r="Q172" s="32"/>
      <c r="R172" s="32"/>
      <c r="S172" s="32"/>
      <c r="T172" s="32"/>
      <c r="U172" s="32"/>
    </row>
    <row r="173" ht="14.25" customHeight="1">
      <c r="A173" s="97"/>
      <c r="B173" s="97"/>
      <c r="C173" s="98"/>
      <c r="D173" s="98"/>
      <c r="E173" s="97"/>
      <c r="F173" s="98"/>
      <c r="K173" s="32"/>
      <c r="L173" s="32"/>
      <c r="M173" s="98"/>
      <c r="N173" s="98"/>
      <c r="O173" s="98"/>
      <c r="P173" s="98"/>
      <c r="Q173" s="32"/>
      <c r="R173" s="32"/>
      <c r="S173" s="32"/>
      <c r="T173" s="32"/>
      <c r="U173" s="32"/>
    </row>
    <row r="174" ht="14.25" customHeight="1">
      <c r="A174" s="97"/>
      <c r="B174" s="97"/>
      <c r="C174" s="98"/>
      <c r="D174" s="98"/>
      <c r="E174" s="97"/>
      <c r="F174" s="98"/>
      <c r="K174" s="32"/>
      <c r="L174" s="32"/>
      <c r="M174" s="98"/>
      <c r="N174" s="98"/>
      <c r="O174" s="98"/>
      <c r="P174" s="98"/>
      <c r="Q174" s="32"/>
      <c r="R174" s="32"/>
      <c r="S174" s="32"/>
      <c r="T174" s="32"/>
      <c r="U174" s="32"/>
    </row>
    <row r="175" ht="14.25" customHeight="1">
      <c r="A175" s="97"/>
      <c r="B175" s="97"/>
      <c r="C175" s="98"/>
      <c r="D175" s="98"/>
      <c r="E175" s="97"/>
      <c r="F175" s="98"/>
      <c r="K175" s="32"/>
      <c r="L175" s="32"/>
      <c r="M175" s="98"/>
      <c r="N175" s="98"/>
      <c r="O175" s="98"/>
      <c r="P175" s="98"/>
      <c r="Q175" s="32"/>
      <c r="R175" s="32"/>
      <c r="S175" s="32"/>
      <c r="T175" s="32"/>
      <c r="U175" s="32"/>
    </row>
    <row r="176" ht="14.25" customHeight="1">
      <c r="A176" s="97"/>
      <c r="B176" s="97"/>
      <c r="C176" s="98"/>
      <c r="D176" s="98"/>
      <c r="E176" s="97"/>
      <c r="F176" s="98"/>
      <c r="K176" s="32"/>
      <c r="L176" s="32"/>
      <c r="M176" s="98"/>
      <c r="N176" s="98"/>
      <c r="O176" s="98"/>
      <c r="P176" s="98"/>
      <c r="Q176" s="32"/>
      <c r="R176" s="32"/>
      <c r="S176" s="32"/>
      <c r="T176" s="32"/>
      <c r="U176" s="32"/>
    </row>
    <row r="177" ht="14.25" customHeight="1">
      <c r="A177" s="97"/>
      <c r="B177" s="97"/>
      <c r="C177" s="98"/>
      <c r="D177" s="98"/>
      <c r="E177" s="97"/>
      <c r="F177" s="98"/>
      <c r="K177" s="32"/>
      <c r="L177" s="32"/>
      <c r="M177" s="98"/>
      <c r="N177" s="98"/>
      <c r="O177" s="98"/>
      <c r="P177" s="98"/>
      <c r="Q177" s="32"/>
      <c r="R177" s="32"/>
      <c r="S177" s="32"/>
      <c r="T177" s="32"/>
      <c r="U177" s="32"/>
    </row>
    <row r="178" ht="14.25" customHeight="1">
      <c r="A178" s="97"/>
      <c r="B178" s="97"/>
      <c r="C178" s="98"/>
      <c r="D178" s="98"/>
      <c r="E178" s="97"/>
      <c r="F178" s="98"/>
      <c r="K178" s="32"/>
      <c r="L178" s="32"/>
      <c r="M178" s="98"/>
      <c r="N178" s="98"/>
      <c r="O178" s="98"/>
      <c r="P178" s="98"/>
      <c r="Q178" s="32"/>
      <c r="R178" s="32"/>
      <c r="S178" s="32"/>
      <c r="T178" s="32"/>
      <c r="U178" s="32"/>
    </row>
    <row r="179" ht="14.25" customHeight="1">
      <c r="A179" s="97"/>
      <c r="B179" s="97"/>
      <c r="C179" s="98"/>
      <c r="D179" s="98"/>
      <c r="E179" s="97"/>
      <c r="F179" s="98"/>
      <c r="K179" s="32"/>
      <c r="L179" s="32"/>
      <c r="M179" s="98"/>
      <c r="N179" s="98"/>
      <c r="O179" s="98"/>
      <c r="P179" s="98"/>
      <c r="Q179" s="32"/>
      <c r="R179" s="32"/>
      <c r="S179" s="32"/>
      <c r="T179" s="32"/>
      <c r="U179" s="32"/>
    </row>
    <row r="180" ht="14.25" customHeight="1">
      <c r="A180" s="97"/>
      <c r="B180" s="97"/>
      <c r="C180" s="98"/>
      <c r="D180" s="98"/>
      <c r="E180" s="97"/>
      <c r="F180" s="98"/>
      <c r="K180" s="32"/>
      <c r="L180" s="32"/>
      <c r="M180" s="98"/>
      <c r="N180" s="98"/>
      <c r="O180" s="98"/>
      <c r="P180" s="98"/>
      <c r="Q180" s="32"/>
      <c r="R180" s="32"/>
      <c r="S180" s="32"/>
      <c r="T180" s="32"/>
      <c r="U180" s="32"/>
    </row>
    <row r="181" ht="14.25" customHeight="1">
      <c r="A181" s="97"/>
      <c r="B181" s="97"/>
      <c r="C181" s="98"/>
      <c r="D181" s="98"/>
      <c r="E181" s="97"/>
      <c r="F181" s="98"/>
      <c r="K181" s="32"/>
      <c r="L181" s="32"/>
      <c r="M181" s="98"/>
      <c r="N181" s="98"/>
      <c r="O181" s="98"/>
      <c r="P181" s="98"/>
      <c r="Q181" s="32"/>
      <c r="R181" s="32"/>
      <c r="S181" s="32"/>
      <c r="T181" s="32"/>
      <c r="U181" s="32"/>
    </row>
    <row r="182" ht="14.25" customHeight="1">
      <c r="A182" s="97"/>
      <c r="B182" s="97"/>
      <c r="C182" s="98"/>
      <c r="D182" s="98"/>
      <c r="E182" s="97"/>
      <c r="F182" s="98"/>
      <c r="K182" s="32"/>
      <c r="L182" s="32"/>
      <c r="M182" s="98"/>
      <c r="N182" s="98"/>
      <c r="O182" s="98"/>
      <c r="P182" s="98"/>
      <c r="Q182" s="32"/>
      <c r="R182" s="32"/>
      <c r="S182" s="32"/>
      <c r="T182" s="32"/>
      <c r="U182" s="32"/>
    </row>
    <row r="183" ht="14.25" customHeight="1">
      <c r="A183" s="97"/>
      <c r="B183" s="97"/>
      <c r="C183" s="98"/>
      <c r="D183" s="98"/>
      <c r="E183" s="97"/>
      <c r="F183" s="98"/>
      <c r="K183" s="32"/>
      <c r="L183" s="32"/>
      <c r="M183" s="98"/>
      <c r="N183" s="98"/>
      <c r="O183" s="98"/>
      <c r="P183" s="98"/>
      <c r="Q183" s="32"/>
      <c r="R183" s="32"/>
      <c r="S183" s="32"/>
      <c r="T183" s="32"/>
      <c r="U183" s="32"/>
    </row>
    <row r="184" ht="14.25" customHeight="1">
      <c r="A184" s="97"/>
      <c r="B184" s="97"/>
      <c r="C184" s="98"/>
      <c r="D184" s="98"/>
      <c r="E184" s="97"/>
      <c r="F184" s="98"/>
      <c r="K184" s="32"/>
      <c r="L184" s="32"/>
      <c r="M184" s="98"/>
      <c r="N184" s="98"/>
      <c r="O184" s="98"/>
      <c r="P184" s="98"/>
      <c r="Q184" s="32"/>
      <c r="R184" s="32"/>
      <c r="S184" s="32"/>
      <c r="T184" s="32"/>
      <c r="U184" s="32"/>
    </row>
    <row r="185" ht="14.25" customHeight="1">
      <c r="A185" s="97"/>
      <c r="B185" s="97"/>
      <c r="C185" s="98"/>
      <c r="D185" s="98"/>
      <c r="E185" s="97"/>
      <c r="F185" s="98"/>
      <c r="K185" s="32"/>
      <c r="L185" s="32"/>
      <c r="M185" s="98"/>
      <c r="N185" s="98"/>
      <c r="O185" s="98"/>
      <c r="P185" s="98"/>
      <c r="Q185" s="32"/>
      <c r="R185" s="32"/>
      <c r="S185" s="32"/>
      <c r="T185" s="32"/>
      <c r="U185" s="32"/>
    </row>
    <row r="186" ht="14.25" customHeight="1">
      <c r="A186" s="97"/>
      <c r="B186" s="97"/>
      <c r="C186" s="98"/>
      <c r="D186" s="98"/>
      <c r="E186" s="97"/>
      <c r="F186" s="98"/>
      <c r="K186" s="32"/>
      <c r="L186" s="32"/>
      <c r="M186" s="98"/>
      <c r="N186" s="98"/>
      <c r="O186" s="98"/>
      <c r="P186" s="98"/>
      <c r="Q186" s="32"/>
      <c r="R186" s="32"/>
      <c r="S186" s="32"/>
      <c r="T186" s="32"/>
      <c r="U186" s="32"/>
    </row>
    <row r="187" ht="14.25" customHeight="1">
      <c r="A187" s="97"/>
      <c r="B187" s="97"/>
      <c r="C187" s="98"/>
      <c r="D187" s="98"/>
      <c r="E187" s="97"/>
      <c r="F187" s="98"/>
      <c r="K187" s="32"/>
      <c r="L187" s="32"/>
      <c r="M187" s="98"/>
      <c r="N187" s="98"/>
      <c r="O187" s="98"/>
      <c r="P187" s="98"/>
      <c r="Q187" s="32"/>
      <c r="R187" s="32"/>
      <c r="S187" s="32"/>
      <c r="T187" s="32"/>
      <c r="U187" s="32"/>
    </row>
    <row r="188" ht="14.25" customHeight="1">
      <c r="A188" s="97"/>
      <c r="B188" s="97"/>
      <c r="C188" s="98"/>
      <c r="D188" s="98"/>
      <c r="E188" s="97"/>
      <c r="F188" s="98"/>
      <c r="K188" s="32"/>
      <c r="L188" s="32"/>
      <c r="M188" s="98"/>
      <c r="N188" s="98"/>
      <c r="O188" s="98"/>
      <c r="P188" s="98"/>
      <c r="Q188" s="32"/>
      <c r="R188" s="32"/>
      <c r="S188" s="32"/>
      <c r="T188" s="32"/>
      <c r="U188" s="32"/>
    </row>
    <row r="189" ht="14.25" customHeight="1">
      <c r="A189" s="97"/>
      <c r="B189" s="97"/>
      <c r="C189" s="98"/>
      <c r="D189" s="98"/>
      <c r="E189" s="97"/>
      <c r="F189" s="98"/>
      <c r="K189" s="32"/>
      <c r="L189" s="32"/>
      <c r="M189" s="98"/>
      <c r="N189" s="98"/>
      <c r="O189" s="98"/>
      <c r="P189" s="98"/>
      <c r="Q189" s="32"/>
      <c r="R189" s="32"/>
      <c r="S189" s="32"/>
      <c r="T189" s="32"/>
      <c r="U189" s="32"/>
    </row>
    <row r="190" ht="14.25" customHeight="1">
      <c r="A190" s="97"/>
      <c r="B190" s="97"/>
      <c r="C190" s="98"/>
      <c r="D190" s="98"/>
      <c r="E190" s="97"/>
      <c r="F190" s="98"/>
      <c r="K190" s="32"/>
      <c r="L190" s="32"/>
      <c r="M190" s="98"/>
      <c r="N190" s="98"/>
      <c r="O190" s="98"/>
      <c r="P190" s="98"/>
      <c r="Q190" s="32"/>
      <c r="R190" s="32"/>
      <c r="S190" s="32"/>
      <c r="T190" s="32"/>
      <c r="U190" s="32"/>
    </row>
    <row r="191" ht="14.25" customHeight="1">
      <c r="A191" s="97"/>
      <c r="B191" s="97"/>
      <c r="C191" s="98"/>
      <c r="D191" s="98"/>
      <c r="E191" s="97"/>
      <c r="F191" s="98"/>
      <c r="K191" s="32"/>
      <c r="L191" s="32"/>
      <c r="M191" s="98"/>
      <c r="N191" s="98"/>
      <c r="O191" s="98"/>
      <c r="P191" s="98"/>
      <c r="Q191" s="32"/>
      <c r="R191" s="32"/>
      <c r="S191" s="32"/>
      <c r="T191" s="32"/>
      <c r="U191" s="32"/>
    </row>
    <row r="192" ht="14.25" customHeight="1">
      <c r="A192" s="97"/>
      <c r="B192" s="97"/>
      <c r="C192" s="98"/>
      <c r="D192" s="98"/>
      <c r="E192" s="97"/>
      <c r="F192" s="98"/>
      <c r="K192" s="32"/>
      <c r="L192" s="32"/>
      <c r="M192" s="98"/>
      <c r="N192" s="98"/>
      <c r="O192" s="98"/>
      <c r="P192" s="98"/>
      <c r="Q192" s="32"/>
      <c r="R192" s="32"/>
      <c r="S192" s="32"/>
      <c r="T192" s="32"/>
      <c r="U192" s="32"/>
    </row>
    <row r="193" ht="14.25" customHeight="1">
      <c r="A193" s="97"/>
      <c r="B193" s="97"/>
      <c r="C193" s="98"/>
      <c r="D193" s="98"/>
      <c r="E193" s="97"/>
      <c r="F193" s="98"/>
      <c r="K193" s="32"/>
      <c r="L193" s="32"/>
      <c r="M193" s="98"/>
      <c r="N193" s="98"/>
      <c r="O193" s="98"/>
      <c r="P193" s="98"/>
      <c r="Q193" s="32"/>
      <c r="R193" s="32"/>
      <c r="S193" s="32"/>
      <c r="T193" s="32"/>
      <c r="U193" s="32"/>
    </row>
    <row r="194" ht="14.25" customHeight="1">
      <c r="A194" s="97"/>
      <c r="B194" s="97"/>
      <c r="C194" s="98"/>
      <c r="D194" s="98"/>
      <c r="E194" s="97"/>
      <c r="F194" s="98"/>
      <c r="K194" s="32"/>
      <c r="L194" s="32"/>
      <c r="M194" s="98"/>
      <c r="N194" s="98"/>
      <c r="O194" s="98"/>
      <c r="P194" s="98"/>
      <c r="Q194" s="32"/>
      <c r="R194" s="32"/>
      <c r="S194" s="32"/>
      <c r="T194" s="32"/>
      <c r="U194" s="32"/>
    </row>
    <row r="195" ht="14.25" customHeight="1">
      <c r="A195" s="97"/>
      <c r="B195" s="97"/>
      <c r="C195" s="98"/>
      <c r="D195" s="98"/>
      <c r="E195" s="97"/>
      <c r="F195" s="98"/>
      <c r="K195" s="32"/>
      <c r="L195" s="32"/>
      <c r="M195" s="98"/>
      <c r="N195" s="98"/>
      <c r="O195" s="98"/>
      <c r="P195" s="98"/>
      <c r="Q195" s="32"/>
      <c r="R195" s="32"/>
      <c r="S195" s="32"/>
      <c r="T195" s="32"/>
      <c r="U195" s="32"/>
    </row>
    <row r="196" ht="14.25" customHeight="1">
      <c r="A196" s="97"/>
      <c r="B196" s="97"/>
      <c r="C196" s="98"/>
      <c r="D196" s="98"/>
      <c r="E196" s="97"/>
      <c r="F196" s="98"/>
      <c r="K196" s="32"/>
      <c r="L196" s="32"/>
      <c r="M196" s="98"/>
      <c r="N196" s="98"/>
      <c r="O196" s="98"/>
      <c r="P196" s="98"/>
      <c r="Q196" s="32"/>
      <c r="R196" s="32"/>
      <c r="S196" s="32"/>
      <c r="T196" s="32"/>
      <c r="U196" s="32"/>
    </row>
    <row r="197" ht="14.25" customHeight="1">
      <c r="A197" s="97"/>
      <c r="B197" s="97"/>
      <c r="C197" s="98"/>
      <c r="D197" s="98"/>
      <c r="E197" s="97"/>
      <c r="F197" s="98"/>
      <c r="K197" s="32"/>
      <c r="L197" s="32"/>
      <c r="M197" s="98"/>
      <c r="N197" s="98"/>
      <c r="O197" s="98"/>
      <c r="P197" s="98"/>
      <c r="Q197" s="32"/>
      <c r="R197" s="32"/>
      <c r="S197" s="32"/>
      <c r="T197" s="32"/>
      <c r="U197" s="32"/>
    </row>
    <row r="198" ht="14.25" customHeight="1">
      <c r="A198" s="97"/>
      <c r="B198" s="97"/>
      <c r="C198" s="98"/>
      <c r="D198" s="98"/>
      <c r="E198" s="97"/>
      <c r="F198" s="98"/>
      <c r="K198" s="32"/>
      <c r="L198" s="32"/>
      <c r="M198" s="98"/>
      <c r="N198" s="98"/>
      <c r="O198" s="98"/>
      <c r="P198" s="98"/>
      <c r="Q198" s="32"/>
      <c r="R198" s="32"/>
      <c r="S198" s="32"/>
      <c r="T198" s="32"/>
      <c r="U198" s="32"/>
    </row>
    <row r="199" ht="14.25" customHeight="1">
      <c r="A199" s="97"/>
      <c r="B199" s="97"/>
      <c r="C199" s="98"/>
      <c r="D199" s="98"/>
      <c r="E199" s="97"/>
      <c r="F199" s="98"/>
      <c r="K199" s="32"/>
      <c r="L199" s="32"/>
      <c r="M199" s="98"/>
      <c r="N199" s="98"/>
      <c r="O199" s="98"/>
      <c r="P199" s="98"/>
      <c r="Q199" s="32"/>
      <c r="R199" s="32"/>
      <c r="S199" s="32"/>
      <c r="T199" s="32"/>
      <c r="U199" s="32"/>
    </row>
    <row r="200" ht="14.25" customHeight="1">
      <c r="A200" s="97"/>
      <c r="B200" s="97"/>
      <c r="C200" s="98"/>
      <c r="D200" s="98"/>
      <c r="E200" s="97"/>
      <c r="F200" s="98"/>
      <c r="K200" s="32"/>
      <c r="L200" s="32"/>
      <c r="M200" s="98"/>
      <c r="N200" s="98"/>
      <c r="O200" s="98"/>
      <c r="P200" s="98"/>
      <c r="Q200" s="32"/>
      <c r="R200" s="32"/>
      <c r="S200" s="32"/>
      <c r="T200" s="32"/>
      <c r="U200" s="32"/>
    </row>
    <row r="201" ht="14.25" customHeight="1">
      <c r="A201" s="97"/>
      <c r="B201" s="97"/>
      <c r="C201" s="98"/>
      <c r="D201" s="98"/>
      <c r="E201" s="97"/>
      <c r="F201" s="98"/>
      <c r="K201" s="32"/>
      <c r="L201" s="32"/>
      <c r="M201" s="98"/>
      <c r="N201" s="98"/>
      <c r="O201" s="98"/>
      <c r="P201" s="98"/>
      <c r="Q201" s="32"/>
      <c r="R201" s="32"/>
      <c r="S201" s="32"/>
      <c r="T201" s="32"/>
      <c r="U201" s="32"/>
    </row>
    <row r="202" ht="14.25" customHeight="1">
      <c r="A202" s="97"/>
      <c r="B202" s="97"/>
      <c r="C202" s="98"/>
      <c r="D202" s="98"/>
      <c r="E202" s="97"/>
      <c r="F202" s="98"/>
      <c r="K202" s="32"/>
      <c r="L202" s="32"/>
      <c r="M202" s="98"/>
      <c r="N202" s="98"/>
      <c r="O202" s="98"/>
      <c r="P202" s="98"/>
      <c r="Q202" s="32"/>
      <c r="R202" s="32"/>
      <c r="S202" s="32"/>
      <c r="T202" s="32"/>
      <c r="U202" s="32"/>
    </row>
    <row r="203" ht="14.25" customHeight="1">
      <c r="A203" s="97"/>
      <c r="B203" s="97"/>
      <c r="C203" s="98"/>
      <c r="D203" s="98"/>
      <c r="E203" s="97"/>
      <c r="F203" s="98"/>
      <c r="K203" s="32"/>
      <c r="L203" s="32"/>
      <c r="M203" s="98"/>
      <c r="N203" s="98"/>
      <c r="O203" s="98"/>
      <c r="P203" s="98"/>
      <c r="Q203" s="32"/>
      <c r="R203" s="32"/>
      <c r="S203" s="32"/>
      <c r="T203" s="32"/>
      <c r="U203" s="32"/>
    </row>
    <row r="204" ht="14.25" customHeight="1">
      <c r="A204" s="97"/>
      <c r="B204" s="97"/>
      <c r="C204" s="98"/>
      <c r="D204" s="98"/>
      <c r="E204" s="97"/>
      <c r="F204" s="98"/>
      <c r="K204" s="32"/>
      <c r="L204" s="32"/>
      <c r="M204" s="98"/>
      <c r="N204" s="98"/>
      <c r="O204" s="98"/>
      <c r="P204" s="98"/>
      <c r="Q204" s="32"/>
      <c r="R204" s="32"/>
      <c r="S204" s="32"/>
      <c r="T204" s="32"/>
      <c r="U204" s="32"/>
    </row>
    <row r="205" ht="14.25" customHeight="1">
      <c r="A205" s="97"/>
      <c r="B205" s="97"/>
      <c r="C205" s="98"/>
      <c r="D205" s="98"/>
      <c r="E205" s="97"/>
      <c r="F205" s="98"/>
      <c r="K205" s="32"/>
      <c r="L205" s="32"/>
      <c r="M205" s="98"/>
      <c r="N205" s="98"/>
      <c r="O205" s="98"/>
      <c r="P205" s="98"/>
      <c r="Q205" s="32"/>
      <c r="R205" s="32"/>
      <c r="S205" s="32"/>
      <c r="T205" s="32"/>
      <c r="U205" s="32"/>
    </row>
    <row r="206" ht="14.25" customHeight="1">
      <c r="A206" s="97"/>
      <c r="B206" s="97"/>
      <c r="C206" s="98"/>
      <c r="D206" s="98"/>
      <c r="E206" s="97"/>
      <c r="F206" s="98"/>
      <c r="K206" s="32"/>
      <c r="L206" s="32"/>
      <c r="M206" s="98"/>
      <c r="N206" s="98"/>
      <c r="O206" s="98"/>
      <c r="P206" s="98"/>
      <c r="Q206" s="32"/>
      <c r="R206" s="32"/>
      <c r="S206" s="32"/>
      <c r="T206" s="32"/>
      <c r="U206" s="32"/>
    </row>
    <row r="207" ht="14.25" customHeight="1">
      <c r="A207" s="97"/>
      <c r="B207" s="97"/>
      <c r="C207" s="98"/>
      <c r="D207" s="98"/>
      <c r="E207" s="97"/>
      <c r="F207" s="98"/>
      <c r="K207" s="32"/>
      <c r="L207" s="32"/>
      <c r="M207" s="98"/>
      <c r="N207" s="98"/>
      <c r="O207" s="98"/>
      <c r="P207" s="98"/>
      <c r="Q207" s="32"/>
      <c r="R207" s="32"/>
      <c r="S207" s="32"/>
      <c r="T207" s="32"/>
      <c r="U207" s="32"/>
    </row>
    <row r="208" ht="14.25" customHeight="1">
      <c r="A208" s="97"/>
      <c r="B208" s="97"/>
      <c r="C208" s="98"/>
      <c r="D208" s="98"/>
      <c r="E208" s="97"/>
      <c r="F208" s="98"/>
      <c r="K208" s="32"/>
      <c r="L208" s="32"/>
      <c r="M208" s="98"/>
      <c r="N208" s="98"/>
      <c r="O208" s="98"/>
      <c r="P208" s="98"/>
      <c r="Q208" s="32"/>
      <c r="R208" s="32"/>
      <c r="S208" s="32"/>
      <c r="T208" s="32"/>
      <c r="U208" s="32"/>
    </row>
    <row r="209" ht="14.25" customHeight="1">
      <c r="A209" s="97"/>
      <c r="B209" s="97"/>
      <c r="C209" s="98"/>
      <c r="D209" s="98"/>
      <c r="E209" s="97"/>
      <c r="F209" s="98"/>
      <c r="K209" s="32"/>
      <c r="L209" s="32"/>
      <c r="M209" s="98"/>
      <c r="N209" s="98"/>
      <c r="O209" s="98"/>
      <c r="P209" s="98"/>
      <c r="Q209" s="32"/>
      <c r="R209" s="32"/>
      <c r="S209" s="32"/>
      <c r="T209" s="32"/>
      <c r="U209" s="32"/>
    </row>
    <row r="210" ht="14.25" customHeight="1">
      <c r="A210" s="97"/>
      <c r="B210" s="97"/>
      <c r="C210" s="98"/>
      <c r="D210" s="98"/>
      <c r="E210" s="97"/>
      <c r="F210" s="98"/>
      <c r="K210" s="32"/>
      <c r="L210" s="32"/>
      <c r="M210" s="98"/>
      <c r="N210" s="98"/>
      <c r="O210" s="98"/>
      <c r="P210" s="98"/>
      <c r="Q210" s="32"/>
      <c r="R210" s="32"/>
      <c r="S210" s="32"/>
      <c r="T210" s="32"/>
      <c r="U210" s="32"/>
    </row>
    <row r="211" ht="14.25" customHeight="1">
      <c r="A211" s="97"/>
      <c r="B211" s="97"/>
      <c r="C211" s="98"/>
      <c r="D211" s="98"/>
      <c r="E211" s="97"/>
      <c r="F211" s="98"/>
      <c r="K211" s="32"/>
      <c r="L211" s="32"/>
      <c r="M211" s="98"/>
      <c r="N211" s="98"/>
      <c r="O211" s="98"/>
      <c r="P211" s="98"/>
      <c r="Q211" s="32"/>
      <c r="R211" s="32"/>
      <c r="S211" s="32"/>
      <c r="T211" s="32"/>
      <c r="U211" s="32"/>
    </row>
    <row r="212" ht="14.25" customHeight="1">
      <c r="A212" s="97"/>
      <c r="B212" s="97"/>
      <c r="C212" s="98"/>
      <c r="D212" s="98"/>
      <c r="E212" s="97"/>
      <c r="F212" s="98"/>
      <c r="K212" s="32"/>
      <c r="L212" s="32"/>
      <c r="M212" s="98"/>
      <c r="N212" s="98"/>
      <c r="O212" s="98"/>
      <c r="P212" s="98"/>
      <c r="Q212" s="32"/>
      <c r="R212" s="32"/>
      <c r="S212" s="32"/>
      <c r="T212" s="32"/>
      <c r="U212" s="32"/>
    </row>
    <row r="213" ht="14.25" customHeight="1">
      <c r="A213" s="97"/>
      <c r="B213" s="97"/>
      <c r="C213" s="98"/>
      <c r="D213" s="98"/>
      <c r="E213" s="97"/>
      <c r="F213" s="98"/>
      <c r="K213" s="32"/>
      <c r="L213" s="32"/>
      <c r="M213" s="98"/>
      <c r="N213" s="98"/>
      <c r="O213" s="98"/>
      <c r="P213" s="98"/>
      <c r="Q213" s="32"/>
      <c r="R213" s="32"/>
      <c r="S213" s="32"/>
      <c r="T213" s="32"/>
      <c r="U213" s="32"/>
    </row>
    <row r="214" ht="14.25" customHeight="1">
      <c r="A214" s="97"/>
      <c r="B214" s="97"/>
      <c r="C214" s="98"/>
      <c r="D214" s="98"/>
      <c r="E214" s="97"/>
      <c r="F214" s="98"/>
      <c r="K214" s="32"/>
      <c r="L214" s="32"/>
      <c r="M214" s="98"/>
      <c r="N214" s="98"/>
      <c r="O214" s="98"/>
      <c r="P214" s="98"/>
      <c r="Q214" s="32"/>
      <c r="R214" s="32"/>
      <c r="S214" s="32"/>
      <c r="T214" s="32"/>
      <c r="U214" s="32"/>
    </row>
    <row r="215" ht="14.25" customHeight="1">
      <c r="A215" s="97"/>
      <c r="B215" s="97"/>
      <c r="C215" s="98"/>
      <c r="D215" s="98"/>
      <c r="E215" s="97"/>
      <c r="F215" s="98"/>
      <c r="K215" s="32"/>
      <c r="L215" s="32"/>
      <c r="M215" s="98"/>
      <c r="N215" s="98"/>
      <c r="O215" s="98"/>
      <c r="P215" s="98"/>
      <c r="Q215" s="32"/>
      <c r="R215" s="32"/>
      <c r="S215" s="32"/>
      <c r="T215" s="32"/>
      <c r="U215" s="32"/>
    </row>
    <row r="216" ht="14.25" customHeight="1">
      <c r="A216" s="97"/>
      <c r="B216" s="97"/>
      <c r="C216" s="98"/>
      <c r="D216" s="98"/>
      <c r="E216" s="97"/>
      <c r="F216" s="98"/>
      <c r="K216" s="32"/>
      <c r="L216" s="32"/>
      <c r="M216" s="98"/>
      <c r="N216" s="98"/>
      <c r="O216" s="98"/>
      <c r="P216" s="98"/>
      <c r="Q216" s="32"/>
      <c r="R216" s="32"/>
      <c r="S216" s="32"/>
      <c r="T216" s="32"/>
      <c r="U216" s="32"/>
    </row>
    <row r="217" ht="14.25" customHeight="1">
      <c r="A217" s="97"/>
      <c r="B217" s="97"/>
      <c r="C217" s="98"/>
      <c r="D217" s="98"/>
      <c r="E217" s="97"/>
      <c r="F217" s="98"/>
      <c r="K217" s="32"/>
      <c r="L217" s="32"/>
      <c r="M217" s="98"/>
      <c r="N217" s="98"/>
      <c r="O217" s="98"/>
      <c r="P217" s="98"/>
      <c r="Q217" s="32"/>
      <c r="R217" s="32"/>
      <c r="S217" s="32"/>
      <c r="T217" s="32"/>
      <c r="U217" s="32"/>
    </row>
    <row r="218" ht="14.25" customHeight="1">
      <c r="A218" s="97"/>
      <c r="B218" s="97"/>
      <c r="C218" s="98"/>
      <c r="D218" s="98"/>
      <c r="E218" s="97"/>
      <c r="F218" s="98"/>
      <c r="K218" s="32"/>
      <c r="L218" s="32"/>
      <c r="M218" s="98"/>
      <c r="N218" s="98"/>
      <c r="O218" s="98"/>
      <c r="P218" s="98"/>
      <c r="Q218" s="32"/>
      <c r="R218" s="32"/>
      <c r="S218" s="32"/>
      <c r="T218" s="32"/>
      <c r="U218" s="32"/>
    </row>
    <row r="219" ht="14.25" customHeight="1">
      <c r="A219" s="97"/>
      <c r="B219" s="97"/>
      <c r="C219" s="98"/>
      <c r="D219" s="98"/>
      <c r="E219" s="97"/>
      <c r="F219" s="98"/>
      <c r="K219" s="32"/>
      <c r="L219" s="32"/>
      <c r="M219" s="98"/>
      <c r="N219" s="98"/>
      <c r="O219" s="98"/>
      <c r="P219" s="98"/>
      <c r="Q219" s="32"/>
      <c r="R219" s="32"/>
      <c r="S219" s="32"/>
      <c r="T219" s="32"/>
      <c r="U219" s="32"/>
    </row>
    <row r="220" ht="14.25" customHeight="1">
      <c r="A220" s="97"/>
      <c r="B220" s="97"/>
      <c r="C220" s="98"/>
      <c r="D220" s="98"/>
      <c r="E220" s="97"/>
      <c r="F220" s="98"/>
      <c r="K220" s="32"/>
      <c r="L220" s="32"/>
      <c r="M220" s="98"/>
      <c r="N220" s="98"/>
      <c r="O220" s="98"/>
      <c r="P220" s="98"/>
      <c r="Q220" s="32"/>
      <c r="R220" s="32"/>
      <c r="S220" s="32"/>
      <c r="T220" s="32"/>
      <c r="U220" s="32"/>
    </row>
    <row r="221" ht="14.25" customHeight="1">
      <c r="A221" s="97"/>
      <c r="B221" s="97"/>
      <c r="C221" s="98"/>
      <c r="D221" s="98"/>
      <c r="E221" s="97"/>
      <c r="F221" s="98"/>
      <c r="K221" s="32"/>
      <c r="L221" s="32"/>
      <c r="M221" s="98"/>
      <c r="N221" s="98"/>
      <c r="O221" s="98"/>
      <c r="P221" s="98"/>
      <c r="Q221" s="32"/>
      <c r="R221" s="32"/>
      <c r="S221" s="32"/>
      <c r="T221" s="32"/>
      <c r="U221" s="32"/>
    </row>
    <row r="222" ht="14.25" customHeight="1">
      <c r="A222" s="97"/>
      <c r="B222" s="97"/>
      <c r="C222" s="98"/>
      <c r="D222" s="98"/>
      <c r="E222" s="97"/>
      <c r="F222" s="98"/>
      <c r="K222" s="32"/>
      <c r="L222" s="32"/>
      <c r="M222" s="98"/>
      <c r="N222" s="98"/>
      <c r="O222" s="98"/>
      <c r="P222" s="98"/>
      <c r="Q222" s="32"/>
      <c r="R222" s="32"/>
      <c r="S222" s="32"/>
      <c r="T222" s="32"/>
      <c r="U222" s="32"/>
    </row>
    <row r="223" ht="14.25" customHeight="1">
      <c r="A223" s="97"/>
      <c r="B223" s="97"/>
      <c r="C223" s="98"/>
      <c r="D223" s="98"/>
      <c r="E223" s="97"/>
      <c r="F223" s="98"/>
      <c r="K223" s="32"/>
      <c r="L223" s="32"/>
      <c r="M223" s="98"/>
      <c r="N223" s="98"/>
      <c r="O223" s="98"/>
      <c r="P223" s="98"/>
      <c r="Q223" s="32"/>
      <c r="R223" s="32"/>
      <c r="S223" s="32"/>
      <c r="T223" s="32"/>
      <c r="U223" s="32"/>
    </row>
    <row r="224" ht="14.25" customHeight="1">
      <c r="A224" s="97"/>
      <c r="B224" s="97"/>
      <c r="C224" s="98"/>
      <c r="D224" s="98"/>
      <c r="E224" s="97"/>
      <c r="F224" s="98"/>
      <c r="K224" s="32"/>
      <c r="L224" s="32"/>
      <c r="M224" s="98"/>
      <c r="N224" s="98"/>
      <c r="O224" s="98"/>
      <c r="P224" s="98"/>
      <c r="Q224" s="32"/>
      <c r="R224" s="32"/>
      <c r="S224" s="32"/>
      <c r="T224" s="32"/>
      <c r="U224" s="32"/>
    </row>
    <row r="225" ht="14.25" customHeight="1">
      <c r="A225" s="97"/>
      <c r="B225" s="97"/>
      <c r="C225" s="98"/>
      <c r="D225" s="98"/>
      <c r="E225" s="97"/>
      <c r="F225" s="98"/>
      <c r="K225" s="32"/>
      <c r="L225" s="32"/>
      <c r="M225" s="98"/>
      <c r="N225" s="98"/>
      <c r="O225" s="98"/>
      <c r="P225" s="98"/>
      <c r="Q225" s="32"/>
      <c r="R225" s="32"/>
      <c r="S225" s="32"/>
      <c r="T225" s="32"/>
      <c r="U225" s="32"/>
    </row>
    <row r="226" ht="14.25" customHeight="1">
      <c r="A226" s="97"/>
      <c r="B226" s="97"/>
      <c r="C226" s="98"/>
      <c r="D226" s="98"/>
      <c r="E226" s="97"/>
      <c r="F226" s="98"/>
      <c r="K226" s="32"/>
      <c r="L226" s="32"/>
      <c r="M226" s="98"/>
      <c r="N226" s="98"/>
      <c r="O226" s="98"/>
      <c r="P226" s="98"/>
      <c r="Q226" s="32"/>
      <c r="R226" s="32"/>
      <c r="S226" s="32"/>
      <c r="T226" s="32"/>
      <c r="U226" s="32"/>
    </row>
    <row r="227" ht="14.25" customHeight="1">
      <c r="A227" s="97"/>
      <c r="B227" s="97"/>
      <c r="C227" s="98"/>
      <c r="D227" s="98"/>
      <c r="E227" s="97"/>
      <c r="F227" s="98"/>
      <c r="K227" s="32"/>
      <c r="L227" s="32"/>
      <c r="M227" s="98"/>
      <c r="N227" s="98"/>
      <c r="O227" s="98"/>
      <c r="P227" s="98"/>
      <c r="Q227" s="32"/>
      <c r="R227" s="32"/>
      <c r="S227" s="32"/>
      <c r="T227" s="32"/>
      <c r="U227" s="32"/>
    </row>
    <row r="228" ht="14.25" customHeight="1">
      <c r="A228" s="97"/>
      <c r="B228" s="97"/>
      <c r="C228" s="98"/>
      <c r="D228" s="98"/>
      <c r="E228" s="97"/>
      <c r="F228" s="98"/>
      <c r="K228" s="32"/>
      <c r="L228" s="32"/>
      <c r="M228" s="98"/>
      <c r="N228" s="98"/>
      <c r="O228" s="98"/>
      <c r="P228" s="98"/>
      <c r="Q228" s="32"/>
      <c r="R228" s="32"/>
      <c r="S228" s="32"/>
      <c r="T228" s="32"/>
      <c r="U228" s="32"/>
    </row>
    <row r="229" ht="14.25" customHeight="1">
      <c r="A229" s="97"/>
      <c r="B229" s="97"/>
      <c r="C229" s="98"/>
      <c r="D229" s="98"/>
      <c r="E229" s="97"/>
      <c r="F229" s="98"/>
      <c r="K229" s="32"/>
      <c r="L229" s="32"/>
      <c r="M229" s="98"/>
      <c r="N229" s="98"/>
      <c r="O229" s="98"/>
      <c r="P229" s="98"/>
      <c r="Q229" s="32"/>
      <c r="R229" s="32"/>
      <c r="S229" s="32"/>
      <c r="T229" s="32"/>
      <c r="U229" s="32"/>
    </row>
    <row r="230" ht="14.25" customHeight="1">
      <c r="A230" s="97"/>
      <c r="B230" s="97"/>
      <c r="C230" s="98"/>
      <c r="D230" s="98"/>
      <c r="E230" s="97"/>
      <c r="F230" s="98"/>
      <c r="K230" s="32"/>
      <c r="L230" s="32"/>
      <c r="M230" s="98"/>
      <c r="N230" s="98"/>
      <c r="O230" s="98"/>
      <c r="P230" s="98"/>
      <c r="Q230" s="32"/>
      <c r="R230" s="32"/>
      <c r="S230" s="32"/>
      <c r="T230" s="32"/>
      <c r="U230" s="32"/>
    </row>
    <row r="231" ht="14.25" customHeight="1">
      <c r="A231" s="97"/>
      <c r="B231" s="97"/>
      <c r="C231" s="98"/>
      <c r="D231" s="98"/>
      <c r="E231" s="97"/>
      <c r="F231" s="98"/>
      <c r="K231" s="32"/>
      <c r="L231" s="32"/>
      <c r="M231" s="98"/>
      <c r="N231" s="98"/>
      <c r="O231" s="98"/>
      <c r="P231" s="98"/>
      <c r="Q231" s="32"/>
      <c r="R231" s="32"/>
      <c r="S231" s="32"/>
      <c r="T231" s="32"/>
      <c r="U231" s="32"/>
    </row>
    <row r="232" ht="14.25" customHeight="1">
      <c r="A232" s="97"/>
      <c r="B232" s="97"/>
      <c r="C232" s="98"/>
      <c r="D232" s="98"/>
      <c r="E232" s="97"/>
      <c r="F232" s="98"/>
      <c r="K232" s="32"/>
      <c r="L232" s="32"/>
      <c r="M232" s="98"/>
      <c r="N232" s="98"/>
      <c r="O232" s="98"/>
      <c r="P232" s="98"/>
      <c r="Q232" s="32"/>
      <c r="R232" s="32"/>
      <c r="S232" s="32"/>
      <c r="T232" s="32"/>
      <c r="U232" s="32"/>
    </row>
    <row r="233" ht="14.25" customHeight="1">
      <c r="A233" s="97"/>
      <c r="B233" s="97"/>
      <c r="C233" s="98"/>
      <c r="D233" s="98"/>
      <c r="E233" s="97"/>
      <c r="F233" s="98"/>
      <c r="K233" s="32"/>
      <c r="L233" s="32"/>
      <c r="M233" s="98"/>
      <c r="N233" s="98"/>
      <c r="O233" s="98"/>
      <c r="P233" s="98"/>
      <c r="Q233" s="32"/>
      <c r="R233" s="32"/>
      <c r="S233" s="32"/>
      <c r="T233" s="32"/>
      <c r="U233" s="32"/>
    </row>
    <row r="234" ht="14.25" customHeight="1">
      <c r="A234" s="97"/>
      <c r="B234" s="97"/>
      <c r="C234" s="98"/>
      <c r="D234" s="98"/>
      <c r="E234" s="97"/>
      <c r="F234" s="98"/>
      <c r="K234" s="32"/>
      <c r="L234" s="32"/>
      <c r="M234" s="98"/>
      <c r="N234" s="98"/>
      <c r="O234" s="98"/>
      <c r="P234" s="98"/>
      <c r="Q234" s="32"/>
      <c r="R234" s="32"/>
      <c r="S234" s="32"/>
      <c r="T234" s="32"/>
      <c r="U234" s="32"/>
    </row>
    <row r="235" ht="14.25" customHeight="1">
      <c r="A235" s="97"/>
      <c r="B235" s="97"/>
      <c r="C235" s="98"/>
      <c r="D235" s="98"/>
      <c r="E235" s="97"/>
      <c r="F235" s="98"/>
      <c r="K235" s="32"/>
      <c r="L235" s="32"/>
      <c r="M235" s="98"/>
      <c r="N235" s="98"/>
      <c r="O235" s="98"/>
      <c r="P235" s="98"/>
      <c r="Q235" s="32"/>
      <c r="R235" s="32"/>
      <c r="S235" s="32"/>
      <c r="T235" s="32"/>
      <c r="U235" s="32"/>
    </row>
    <row r="236" ht="14.25" customHeight="1">
      <c r="A236" s="97"/>
      <c r="B236" s="97"/>
      <c r="C236" s="98"/>
      <c r="D236" s="98"/>
      <c r="E236" s="97"/>
      <c r="F236" s="98"/>
      <c r="K236" s="32"/>
      <c r="L236" s="32"/>
      <c r="M236" s="98"/>
      <c r="N236" s="98"/>
      <c r="O236" s="98"/>
      <c r="P236" s="98"/>
      <c r="Q236" s="32"/>
      <c r="R236" s="32"/>
      <c r="S236" s="32"/>
      <c r="T236" s="32"/>
      <c r="U236" s="32"/>
    </row>
    <row r="237" ht="14.25" customHeight="1">
      <c r="A237" s="97"/>
      <c r="B237" s="97"/>
      <c r="C237" s="98"/>
      <c r="D237" s="98"/>
      <c r="E237" s="97"/>
      <c r="F237" s="98"/>
      <c r="K237" s="32"/>
      <c r="L237" s="32"/>
      <c r="M237" s="98"/>
      <c r="N237" s="98"/>
      <c r="O237" s="98"/>
      <c r="P237" s="98"/>
      <c r="Q237" s="32"/>
      <c r="R237" s="32"/>
      <c r="S237" s="32"/>
      <c r="T237" s="32"/>
      <c r="U237" s="32"/>
    </row>
    <row r="238" ht="14.25" customHeight="1">
      <c r="A238" s="97"/>
      <c r="B238" s="97"/>
      <c r="C238" s="98"/>
      <c r="D238" s="98"/>
      <c r="E238" s="97"/>
      <c r="F238" s="98"/>
      <c r="K238" s="32"/>
      <c r="L238" s="32"/>
      <c r="M238" s="98"/>
      <c r="N238" s="98"/>
      <c r="O238" s="98"/>
      <c r="P238" s="98"/>
      <c r="Q238" s="32"/>
      <c r="R238" s="32"/>
      <c r="S238" s="32"/>
      <c r="T238" s="32"/>
      <c r="U238" s="32"/>
    </row>
    <row r="239" ht="14.25" customHeight="1">
      <c r="A239" s="97"/>
      <c r="B239" s="97"/>
      <c r="C239" s="98"/>
      <c r="D239" s="98"/>
      <c r="E239" s="97"/>
      <c r="F239" s="98"/>
      <c r="K239" s="32"/>
      <c r="L239" s="32"/>
      <c r="M239" s="98"/>
      <c r="N239" s="98"/>
      <c r="O239" s="98"/>
      <c r="P239" s="98"/>
      <c r="Q239" s="32"/>
      <c r="R239" s="32"/>
      <c r="S239" s="32"/>
      <c r="T239" s="32"/>
      <c r="U239" s="32"/>
    </row>
    <row r="240" ht="14.25" customHeight="1">
      <c r="A240" s="97"/>
      <c r="B240" s="97"/>
      <c r="C240" s="98"/>
      <c r="D240" s="98"/>
      <c r="E240" s="97"/>
      <c r="F240" s="98"/>
      <c r="K240" s="32"/>
      <c r="L240" s="32"/>
      <c r="M240" s="98"/>
      <c r="N240" s="98"/>
      <c r="O240" s="98"/>
      <c r="P240" s="98"/>
      <c r="Q240" s="32"/>
      <c r="R240" s="32"/>
      <c r="S240" s="32"/>
      <c r="T240" s="32"/>
      <c r="U240" s="32"/>
    </row>
    <row r="241" ht="14.25" customHeight="1">
      <c r="A241" s="97"/>
      <c r="B241" s="97"/>
      <c r="C241" s="98"/>
      <c r="D241" s="98"/>
      <c r="E241" s="97"/>
      <c r="F241" s="98"/>
      <c r="K241" s="32"/>
      <c r="L241" s="32"/>
      <c r="M241" s="98"/>
      <c r="N241" s="98"/>
      <c r="O241" s="98"/>
      <c r="P241" s="98"/>
      <c r="Q241" s="32"/>
      <c r="R241" s="32"/>
      <c r="S241" s="32"/>
      <c r="T241" s="32"/>
      <c r="U241" s="32"/>
    </row>
    <row r="242" ht="14.25" customHeight="1">
      <c r="A242" s="97"/>
      <c r="B242" s="97"/>
      <c r="C242" s="98"/>
      <c r="D242" s="98"/>
      <c r="E242" s="97"/>
      <c r="F242" s="98"/>
      <c r="K242" s="32"/>
      <c r="L242" s="32"/>
      <c r="M242" s="98"/>
      <c r="N242" s="98"/>
      <c r="O242" s="98"/>
      <c r="P242" s="98"/>
      <c r="Q242" s="32"/>
      <c r="R242" s="32"/>
      <c r="S242" s="32"/>
      <c r="T242" s="32"/>
      <c r="U242" s="32"/>
    </row>
    <row r="243" ht="14.25" customHeight="1">
      <c r="A243" s="97"/>
      <c r="B243" s="97"/>
      <c r="C243" s="98"/>
      <c r="D243" s="98"/>
      <c r="E243" s="97"/>
      <c r="F243" s="98"/>
      <c r="K243" s="32"/>
      <c r="L243" s="32"/>
      <c r="M243" s="98"/>
      <c r="N243" s="98"/>
      <c r="O243" s="98"/>
      <c r="P243" s="98"/>
      <c r="Q243" s="32"/>
      <c r="R243" s="32"/>
      <c r="S243" s="32"/>
      <c r="T243" s="32"/>
      <c r="U243" s="32"/>
    </row>
    <row r="244" ht="14.25" customHeight="1">
      <c r="A244" s="97"/>
      <c r="B244" s="97"/>
      <c r="C244" s="98"/>
      <c r="D244" s="98"/>
      <c r="E244" s="97"/>
      <c r="F244" s="98"/>
      <c r="K244" s="32"/>
      <c r="L244" s="32"/>
      <c r="M244" s="98"/>
      <c r="N244" s="98"/>
      <c r="O244" s="98"/>
      <c r="P244" s="98"/>
      <c r="Q244" s="32"/>
      <c r="R244" s="32"/>
      <c r="S244" s="32"/>
      <c r="T244" s="32"/>
      <c r="U244" s="32"/>
    </row>
    <row r="245" ht="14.25" customHeight="1">
      <c r="A245" s="97"/>
      <c r="B245" s="97"/>
      <c r="C245" s="98"/>
      <c r="D245" s="98"/>
      <c r="E245" s="97"/>
      <c r="F245" s="98"/>
      <c r="K245" s="32"/>
      <c r="L245" s="32"/>
      <c r="M245" s="98"/>
      <c r="N245" s="98"/>
      <c r="O245" s="98"/>
      <c r="P245" s="98"/>
      <c r="Q245" s="32"/>
      <c r="R245" s="32"/>
      <c r="S245" s="32"/>
      <c r="T245" s="32"/>
      <c r="U245" s="32"/>
    </row>
    <row r="246" ht="14.25" customHeight="1">
      <c r="A246" s="97"/>
      <c r="B246" s="97"/>
      <c r="C246" s="98"/>
      <c r="D246" s="98"/>
      <c r="E246" s="97"/>
      <c r="F246" s="98"/>
      <c r="K246" s="32"/>
      <c r="L246" s="32"/>
      <c r="M246" s="98"/>
      <c r="N246" s="98"/>
      <c r="O246" s="98"/>
      <c r="P246" s="98"/>
      <c r="Q246" s="32"/>
      <c r="R246" s="32"/>
      <c r="S246" s="32"/>
      <c r="T246" s="32"/>
      <c r="U246" s="32"/>
    </row>
    <row r="247" ht="14.25" customHeight="1">
      <c r="A247" s="97"/>
      <c r="B247" s="97"/>
      <c r="C247" s="98"/>
      <c r="D247" s="98"/>
      <c r="E247" s="97"/>
      <c r="F247" s="98"/>
      <c r="K247" s="32"/>
      <c r="L247" s="32"/>
      <c r="M247" s="98"/>
      <c r="N247" s="98"/>
      <c r="O247" s="98"/>
      <c r="P247" s="98"/>
      <c r="Q247" s="32"/>
      <c r="R247" s="32"/>
      <c r="S247" s="32"/>
      <c r="T247" s="32"/>
      <c r="U247" s="32"/>
    </row>
    <row r="248" ht="14.25" customHeight="1">
      <c r="A248" s="97"/>
      <c r="B248" s="97"/>
      <c r="C248" s="98"/>
      <c r="D248" s="98"/>
      <c r="E248" s="97"/>
      <c r="F248" s="98"/>
      <c r="K248" s="32"/>
      <c r="L248" s="32"/>
      <c r="M248" s="98"/>
      <c r="N248" s="98"/>
      <c r="O248" s="98"/>
      <c r="P248" s="98"/>
      <c r="Q248" s="32"/>
      <c r="R248" s="32"/>
      <c r="S248" s="32"/>
      <c r="T248" s="32"/>
      <c r="U248" s="32"/>
    </row>
    <row r="249" ht="14.25" customHeight="1">
      <c r="A249" s="97"/>
      <c r="B249" s="97"/>
      <c r="C249" s="98"/>
      <c r="D249" s="98"/>
      <c r="E249" s="97"/>
      <c r="F249" s="98"/>
      <c r="K249" s="32"/>
      <c r="L249" s="32"/>
      <c r="M249" s="98"/>
      <c r="N249" s="98"/>
      <c r="O249" s="98"/>
      <c r="P249" s="98"/>
      <c r="Q249" s="32"/>
      <c r="R249" s="32"/>
      <c r="S249" s="32"/>
      <c r="T249" s="32"/>
      <c r="U249" s="32"/>
    </row>
    <row r="250" ht="14.25" customHeight="1">
      <c r="A250" s="97"/>
      <c r="B250" s="97"/>
      <c r="C250" s="98"/>
      <c r="D250" s="98"/>
      <c r="E250" s="97"/>
      <c r="F250" s="98"/>
      <c r="K250" s="32"/>
      <c r="L250" s="32"/>
      <c r="M250" s="98"/>
      <c r="N250" s="98"/>
      <c r="O250" s="98"/>
      <c r="P250" s="98"/>
      <c r="Q250" s="32"/>
      <c r="R250" s="32"/>
      <c r="S250" s="32"/>
      <c r="T250" s="32"/>
      <c r="U250" s="32"/>
    </row>
    <row r="251" ht="14.25" customHeight="1">
      <c r="A251" s="97"/>
      <c r="B251" s="97"/>
      <c r="C251" s="98"/>
      <c r="D251" s="98"/>
      <c r="E251" s="97"/>
      <c r="F251" s="98"/>
      <c r="K251" s="32"/>
      <c r="L251" s="32"/>
      <c r="M251" s="98"/>
      <c r="N251" s="98"/>
      <c r="O251" s="98"/>
      <c r="P251" s="98"/>
      <c r="Q251" s="32"/>
      <c r="R251" s="32"/>
      <c r="S251" s="32"/>
      <c r="T251" s="32"/>
      <c r="U251" s="32"/>
    </row>
    <row r="252" ht="14.25" customHeight="1">
      <c r="A252" s="97"/>
      <c r="B252" s="97"/>
      <c r="C252" s="98"/>
      <c r="D252" s="98"/>
      <c r="E252" s="97"/>
      <c r="F252" s="98"/>
      <c r="K252" s="32"/>
      <c r="L252" s="32"/>
      <c r="M252" s="98"/>
      <c r="N252" s="98"/>
      <c r="O252" s="98"/>
      <c r="P252" s="98"/>
      <c r="Q252" s="32"/>
      <c r="R252" s="32"/>
      <c r="S252" s="32"/>
      <c r="T252" s="32"/>
      <c r="U252" s="32"/>
    </row>
    <row r="253" ht="14.25" customHeight="1">
      <c r="A253" s="97"/>
      <c r="B253" s="97"/>
      <c r="C253" s="98"/>
      <c r="D253" s="98"/>
      <c r="E253" s="97"/>
      <c r="F253" s="98"/>
      <c r="K253" s="32"/>
      <c r="L253" s="32"/>
      <c r="M253" s="98"/>
      <c r="N253" s="98"/>
      <c r="O253" s="98"/>
      <c r="P253" s="98"/>
      <c r="Q253" s="32"/>
      <c r="R253" s="32"/>
      <c r="S253" s="32"/>
      <c r="T253" s="32"/>
      <c r="U253" s="32"/>
    </row>
    <row r="254" ht="14.25" customHeight="1">
      <c r="A254" s="97"/>
      <c r="B254" s="97"/>
      <c r="C254" s="98"/>
      <c r="D254" s="98"/>
      <c r="E254" s="97"/>
      <c r="F254" s="98"/>
      <c r="K254" s="32"/>
      <c r="L254" s="32"/>
      <c r="M254" s="98"/>
      <c r="N254" s="98"/>
      <c r="O254" s="98"/>
      <c r="P254" s="98"/>
      <c r="Q254" s="32"/>
      <c r="R254" s="32"/>
      <c r="S254" s="32"/>
      <c r="T254" s="32"/>
      <c r="U254" s="32"/>
    </row>
    <row r="255" ht="14.25" customHeight="1">
      <c r="A255" s="97"/>
      <c r="B255" s="97"/>
      <c r="C255" s="98"/>
      <c r="D255" s="98"/>
      <c r="E255" s="97"/>
      <c r="F255" s="98"/>
      <c r="K255" s="32"/>
      <c r="L255" s="32"/>
      <c r="M255" s="98"/>
      <c r="N255" s="98"/>
      <c r="O255" s="98"/>
      <c r="P255" s="98"/>
      <c r="Q255" s="32"/>
      <c r="R255" s="32"/>
      <c r="S255" s="32"/>
      <c r="T255" s="32"/>
      <c r="U255" s="32"/>
    </row>
    <row r="256" ht="14.25" customHeight="1">
      <c r="A256" s="97"/>
      <c r="B256" s="97"/>
      <c r="C256" s="98"/>
      <c r="D256" s="98"/>
      <c r="E256" s="97"/>
      <c r="F256" s="98"/>
      <c r="K256" s="32"/>
      <c r="L256" s="32"/>
      <c r="M256" s="98"/>
      <c r="N256" s="98"/>
      <c r="O256" s="98"/>
      <c r="P256" s="98"/>
      <c r="Q256" s="32"/>
      <c r="R256" s="32"/>
      <c r="S256" s="32"/>
      <c r="T256" s="32"/>
      <c r="U256" s="32"/>
    </row>
    <row r="257" ht="14.25" customHeight="1">
      <c r="A257" s="97"/>
      <c r="B257" s="97"/>
      <c r="C257" s="98"/>
      <c r="D257" s="98"/>
      <c r="E257" s="97"/>
      <c r="F257" s="98"/>
      <c r="K257" s="32"/>
      <c r="L257" s="32"/>
      <c r="M257" s="98"/>
      <c r="N257" s="98"/>
      <c r="O257" s="98"/>
      <c r="P257" s="98"/>
      <c r="Q257" s="32"/>
      <c r="R257" s="32"/>
      <c r="S257" s="32"/>
      <c r="T257" s="32"/>
      <c r="U257" s="32"/>
    </row>
    <row r="258" ht="14.25" customHeight="1">
      <c r="A258" s="97"/>
      <c r="B258" s="97"/>
      <c r="C258" s="98"/>
      <c r="D258" s="98"/>
      <c r="E258" s="97"/>
      <c r="F258" s="98"/>
      <c r="K258" s="32"/>
      <c r="L258" s="32"/>
      <c r="M258" s="98"/>
      <c r="N258" s="98"/>
      <c r="O258" s="98"/>
      <c r="P258" s="98"/>
      <c r="Q258" s="32"/>
      <c r="R258" s="32"/>
      <c r="S258" s="32"/>
      <c r="T258" s="32"/>
      <c r="U258" s="32"/>
    </row>
    <row r="259" ht="14.25" customHeight="1">
      <c r="A259" s="97"/>
      <c r="B259" s="97"/>
      <c r="C259" s="98"/>
      <c r="D259" s="98"/>
      <c r="E259" s="97"/>
      <c r="F259" s="98"/>
      <c r="K259" s="32"/>
      <c r="L259" s="32"/>
      <c r="M259" s="98"/>
      <c r="N259" s="98"/>
      <c r="O259" s="98"/>
      <c r="P259" s="98"/>
      <c r="Q259" s="32"/>
      <c r="R259" s="32"/>
      <c r="S259" s="32"/>
      <c r="T259" s="32"/>
      <c r="U259" s="32"/>
    </row>
    <row r="260" ht="14.25" customHeight="1">
      <c r="A260" s="97"/>
      <c r="B260" s="97"/>
      <c r="C260" s="98"/>
      <c r="D260" s="98"/>
      <c r="E260" s="97"/>
      <c r="F260" s="98"/>
      <c r="K260" s="32"/>
      <c r="L260" s="32"/>
      <c r="M260" s="98"/>
      <c r="N260" s="98"/>
      <c r="O260" s="98"/>
      <c r="P260" s="98"/>
      <c r="Q260" s="32"/>
      <c r="R260" s="32"/>
      <c r="S260" s="32"/>
      <c r="T260" s="32"/>
      <c r="U260" s="32"/>
    </row>
    <row r="261" ht="14.25" customHeight="1">
      <c r="A261" s="97"/>
      <c r="B261" s="97"/>
      <c r="C261" s="98"/>
      <c r="D261" s="98"/>
      <c r="E261" s="97"/>
      <c r="F261" s="98"/>
      <c r="K261" s="32"/>
      <c r="L261" s="32"/>
      <c r="M261" s="98"/>
      <c r="N261" s="98"/>
      <c r="O261" s="98"/>
      <c r="P261" s="98"/>
      <c r="Q261" s="32"/>
      <c r="R261" s="32"/>
      <c r="S261" s="32"/>
      <c r="T261" s="32"/>
      <c r="U261" s="32"/>
    </row>
    <row r="262" ht="14.25" customHeight="1">
      <c r="A262" s="97"/>
      <c r="B262" s="97"/>
      <c r="C262" s="98"/>
      <c r="D262" s="98"/>
      <c r="E262" s="97"/>
      <c r="F262" s="98"/>
      <c r="K262" s="32"/>
      <c r="L262" s="32"/>
      <c r="M262" s="98"/>
      <c r="N262" s="98"/>
      <c r="O262" s="98"/>
      <c r="P262" s="98"/>
      <c r="Q262" s="32"/>
      <c r="R262" s="32"/>
      <c r="S262" s="32"/>
      <c r="T262" s="32"/>
      <c r="U262" s="32"/>
    </row>
    <row r="263" ht="14.25" customHeight="1">
      <c r="A263" s="97"/>
      <c r="B263" s="97"/>
      <c r="C263" s="98"/>
      <c r="D263" s="98"/>
      <c r="E263" s="97"/>
      <c r="F263" s="98"/>
      <c r="K263" s="32"/>
      <c r="L263" s="32"/>
      <c r="M263" s="98"/>
      <c r="N263" s="98"/>
      <c r="O263" s="98"/>
      <c r="P263" s="98"/>
      <c r="Q263" s="32"/>
      <c r="R263" s="32"/>
      <c r="S263" s="32"/>
      <c r="T263" s="32"/>
      <c r="U263" s="32"/>
    </row>
    <row r="264" ht="14.25" customHeight="1">
      <c r="A264" s="97"/>
      <c r="B264" s="97"/>
      <c r="C264" s="98"/>
      <c r="D264" s="98"/>
      <c r="E264" s="97"/>
      <c r="F264" s="98"/>
      <c r="K264" s="32"/>
      <c r="L264" s="32"/>
      <c r="M264" s="98"/>
      <c r="N264" s="98"/>
      <c r="O264" s="98"/>
      <c r="P264" s="98"/>
      <c r="Q264" s="32"/>
      <c r="R264" s="32"/>
      <c r="S264" s="32"/>
      <c r="T264" s="32"/>
      <c r="U264" s="32"/>
    </row>
    <row r="265" ht="14.25" customHeight="1">
      <c r="A265" s="97"/>
      <c r="B265" s="97"/>
      <c r="C265" s="98"/>
      <c r="D265" s="98"/>
      <c r="E265" s="97"/>
      <c r="F265" s="98"/>
      <c r="K265" s="32"/>
      <c r="L265" s="32"/>
      <c r="M265" s="98"/>
      <c r="N265" s="98"/>
      <c r="O265" s="98"/>
      <c r="P265" s="98"/>
      <c r="Q265" s="32"/>
      <c r="R265" s="32"/>
      <c r="S265" s="32"/>
      <c r="T265" s="32"/>
      <c r="U265" s="32"/>
    </row>
    <row r="266" ht="14.25" customHeight="1">
      <c r="A266" s="97"/>
      <c r="B266" s="97"/>
      <c r="C266" s="98"/>
      <c r="D266" s="98"/>
      <c r="E266" s="97"/>
      <c r="F266" s="98"/>
      <c r="K266" s="32"/>
      <c r="L266" s="32"/>
      <c r="M266" s="98"/>
      <c r="N266" s="98"/>
      <c r="O266" s="98"/>
      <c r="P266" s="98"/>
      <c r="Q266" s="32"/>
      <c r="R266" s="32"/>
      <c r="S266" s="32"/>
      <c r="T266" s="32"/>
      <c r="U266" s="32"/>
    </row>
    <row r="267" ht="14.25" customHeight="1">
      <c r="A267" s="97"/>
      <c r="B267" s="97"/>
      <c r="C267" s="98"/>
      <c r="D267" s="98"/>
      <c r="E267" s="97"/>
      <c r="F267" s="98"/>
      <c r="K267" s="32"/>
      <c r="L267" s="32"/>
      <c r="M267" s="98"/>
      <c r="N267" s="98"/>
      <c r="O267" s="98"/>
      <c r="P267" s="98"/>
      <c r="Q267" s="32"/>
      <c r="R267" s="32"/>
      <c r="S267" s="32"/>
      <c r="T267" s="32"/>
      <c r="U267" s="32"/>
    </row>
    <row r="268" ht="14.25" customHeight="1">
      <c r="A268" s="97"/>
      <c r="B268" s="97"/>
      <c r="C268" s="98"/>
      <c r="D268" s="98"/>
      <c r="E268" s="97"/>
      <c r="F268" s="98"/>
      <c r="K268" s="32"/>
      <c r="L268" s="32"/>
      <c r="M268" s="98"/>
      <c r="N268" s="98"/>
      <c r="O268" s="98"/>
      <c r="P268" s="98"/>
      <c r="Q268" s="32"/>
      <c r="R268" s="32"/>
      <c r="S268" s="32"/>
      <c r="T268" s="32"/>
      <c r="U268" s="32"/>
    </row>
    <row r="269" ht="14.25" customHeight="1">
      <c r="A269" s="97"/>
      <c r="B269" s="97"/>
      <c r="C269" s="98"/>
      <c r="D269" s="98"/>
      <c r="E269" s="97"/>
      <c r="F269" s="98"/>
      <c r="K269" s="32"/>
      <c r="L269" s="32"/>
      <c r="M269" s="98"/>
      <c r="N269" s="98"/>
      <c r="O269" s="98"/>
      <c r="P269" s="98"/>
      <c r="Q269" s="32"/>
      <c r="R269" s="32"/>
      <c r="S269" s="32"/>
      <c r="T269" s="32"/>
      <c r="U269" s="32"/>
    </row>
    <row r="270" ht="14.25" customHeight="1">
      <c r="A270" s="97"/>
      <c r="B270" s="97"/>
      <c r="C270" s="98"/>
      <c r="D270" s="98"/>
      <c r="E270" s="97"/>
      <c r="F270" s="98"/>
      <c r="K270" s="32"/>
      <c r="L270" s="32"/>
      <c r="M270" s="98"/>
      <c r="N270" s="98"/>
      <c r="O270" s="98"/>
      <c r="P270" s="98"/>
      <c r="Q270" s="32"/>
      <c r="R270" s="32"/>
      <c r="S270" s="32"/>
      <c r="T270" s="32"/>
      <c r="U270" s="32"/>
    </row>
    <row r="271" ht="14.25" customHeight="1">
      <c r="A271" s="97"/>
      <c r="B271" s="97"/>
      <c r="C271" s="98"/>
      <c r="D271" s="98"/>
      <c r="E271" s="97"/>
      <c r="F271" s="98"/>
      <c r="K271" s="32"/>
      <c r="L271" s="32"/>
      <c r="M271" s="98"/>
      <c r="N271" s="98"/>
      <c r="O271" s="98"/>
      <c r="P271" s="98"/>
      <c r="Q271" s="32"/>
      <c r="R271" s="32"/>
      <c r="S271" s="32"/>
      <c r="T271" s="32"/>
      <c r="U271" s="32"/>
    </row>
    <row r="272" ht="14.25" customHeight="1">
      <c r="A272" s="97"/>
      <c r="B272" s="97"/>
      <c r="C272" s="98"/>
      <c r="D272" s="98"/>
      <c r="E272" s="97"/>
      <c r="F272" s="98"/>
      <c r="K272" s="32"/>
      <c r="L272" s="32"/>
      <c r="M272" s="98"/>
      <c r="N272" s="98"/>
      <c r="O272" s="98"/>
      <c r="P272" s="98"/>
      <c r="Q272" s="32"/>
      <c r="R272" s="32"/>
      <c r="S272" s="32"/>
      <c r="T272" s="32"/>
      <c r="U272" s="32"/>
    </row>
    <row r="273" ht="14.25" customHeight="1">
      <c r="A273" s="97"/>
      <c r="B273" s="97"/>
      <c r="C273" s="98"/>
      <c r="D273" s="98"/>
      <c r="E273" s="97"/>
      <c r="F273" s="98"/>
      <c r="K273" s="32"/>
      <c r="L273" s="32"/>
      <c r="M273" s="98"/>
      <c r="N273" s="98"/>
      <c r="O273" s="98"/>
      <c r="P273" s="98"/>
      <c r="Q273" s="32"/>
      <c r="R273" s="32"/>
      <c r="S273" s="32"/>
      <c r="T273" s="32"/>
      <c r="U273" s="32"/>
    </row>
    <row r="274" ht="14.25" customHeight="1">
      <c r="A274" s="97"/>
      <c r="B274" s="97"/>
      <c r="C274" s="98"/>
      <c r="D274" s="98"/>
      <c r="E274" s="97"/>
      <c r="F274" s="98"/>
      <c r="K274" s="32"/>
      <c r="L274" s="32"/>
      <c r="M274" s="98"/>
      <c r="N274" s="98"/>
      <c r="O274" s="98"/>
      <c r="P274" s="98"/>
      <c r="Q274" s="32"/>
      <c r="R274" s="32"/>
      <c r="S274" s="32"/>
      <c r="T274" s="32"/>
      <c r="U274" s="32"/>
    </row>
    <row r="275" ht="14.25" customHeight="1">
      <c r="A275" s="97"/>
      <c r="B275" s="97"/>
      <c r="C275" s="98"/>
      <c r="D275" s="98"/>
      <c r="E275" s="97"/>
      <c r="F275" s="98"/>
      <c r="K275" s="32"/>
      <c r="L275" s="32"/>
      <c r="M275" s="98"/>
      <c r="N275" s="98"/>
      <c r="O275" s="98"/>
      <c r="P275" s="98"/>
      <c r="Q275" s="32"/>
      <c r="R275" s="32"/>
      <c r="S275" s="32"/>
      <c r="T275" s="32"/>
      <c r="U275" s="32"/>
    </row>
    <row r="276" ht="14.25" customHeight="1">
      <c r="A276" s="97"/>
      <c r="B276" s="97"/>
      <c r="C276" s="98"/>
      <c r="D276" s="98"/>
      <c r="E276" s="97"/>
      <c r="F276" s="98"/>
      <c r="K276" s="32"/>
      <c r="L276" s="32"/>
      <c r="M276" s="98"/>
      <c r="N276" s="98"/>
      <c r="O276" s="98"/>
      <c r="P276" s="98"/>
      <c r="Q276" s="32"/>
      <c r="R276" s="32"/>
      <c r="S276" s="32"/>
      <c r="T276" s="32"/>
      <c r="U276" s="32"/>
    </row>
    <row r="277" ht="14.25" customHeight="1">
      <c r="A277" s="97"/>
      <c r="B277" s="97"/>
      <c r="C277" s="98"/>
      <c r="D277" s="98"/>
      <c r="E277" s="97"/>
      <c r="F277" s="98"/>
      <c r="K277" s="32"/>
      <c r="L277" s="32"/>
      <c r="M277" s="98"/>
      <c r="N277" s="98"/>
      <c r="O277" s="98"/>
      <c r="P277" s="98"/>
      <c r="Q277" s="32"/>
      <c r="R277" s="32"/>
      <c r="S277" s="32"/>
      <c r="T277" s="32"/>
      <c r="U277" s="32"/>
    </row>
    <row r="278" ht="14.25" customHeight="1">
      <c r="A278" s="97"/>
      <c r="B278" s="97"/>
      <c r="C278" s="98"/>
      <c r="D278" s="98"/>
      <c r="E278" s="97"/>
      <c r="F278" s="98"/>
      <c r="K278" s="32"/>
      <c r="L278" s="32"/>
      <c r="M278" s="98"/>
      <c r="N278" s="98"/>
      <c r="O278" s="98"/>
      <c r="P278" s="98"/>
      <c r="Q278" s="32"/>
      <c r="R278" s="32"/>
      <c r="S278" s="32"/>
      <c r="T278" s="32"/>
      <c r="U278" s="32"/>
    </row>
    <row r="279" ht="14.25" customHeight="1">
      <c r="A279" s="97"/>
      <c r="B279" s="97"/>
      <c r="C279" s="98"/>
      <c r="D279" s="98"/>
      <c r="E279" s="97"/>
      <c r="F279" s="98"/>
      <c r="K279" s="32"/>
      <c r="L279" s="32"/>
      <c r="M279" s="98"/>
      <c r="N279" s="98"/>
      <c r="O279" s="98"/>
      <c r="P279" s="98"/>
      <c r="Q279" s="32"/>
      <c r="R279" s="32"/>
      <c r="S279" s="32"/>
      <c r="T279" s="32"/>
      <c r="U279" s="32"/>
    </row>
    <row r="280" ht="14.25" customHeight="1">
      <c r="A280" s="97"/>
      <c r="B280" s="97"/>
      <c r="C280" s="98"/>
      <c r="D280" s="98"/>
      <c r="E280" s="97"/>
      <c r="F280" s="98"/>
      <c r="K280" s="32"/>
      <c r="L280" s="32"/>
      <c r="M280" s="98"/>
      <c r="N280" s="98"/>
      <c r="O280" s="98"/>
      <c r="P280" s="98"/>
      <c r="Q280" s="32"/>
      <c r="R280" s="32"/>
      <c r="S280" s="32"/>
      <c r="T280" s="32"/>
      <c r="U280" s="32"/>
    </row>
    <row r="281" ht="14.25" customHeight="1">
      <c r="A281" s="97"/>
      <c r="B281" s="97"/>
      <c r="C281" s="98"/>
      <c r="D281" s="98"/>
      <c r="E281" s="97"/>
      <c r="F281" s="98"/>
      <c r="K281" s="32"/>
      <c r="L281" s="32"/>
      <c r="M281" s="98"/>
      <c r="N281" s="98"/>
      <c r="O281" s="98"/>
      <c r="P281" s="98"/>
      <c r="Q281" s="32"/>
      <c r="R281" s="32"/>
      <c r="S281" s="32"/>
      <c r="T281" s="32"/>
      <c r="U281" s="32"/>
    </row>
    <row r="282" ht="14.25" customHeight="1">
      <c r="A282" s="97"/>
      <c r="B282" s="97"/>
      <c r="C282" s="98"/>
      <c r="D282" s="98"/>
      <c r="E282" s="97"/>
      <c r="F282" s="98"/>
      <c r="K282" s="32"/>
      <c r="L282" s="32"/>
      <c r="M282" s="98"/>
      <c r="N282" s="98"/>
      <c r="O282" s="98"/>
      <c r="P282" s="98"/>
      <c r="Q282" s="32"/>
      <c r="R282" s="32"/>
      <c r="S282" s="32"/>
      <c r="T282" s="32"/>
      <c r="U282" s="32"/>
    </row>
    <row r="283" ht="14.25" customHeight="1">
      <c r="A283" s="97"/>
      <c r="B283" s="97"/>
      <c r="C283" s="98"/>
      <c r="D283" s="98"/>
      <c r="E283" s="97"/>
      <c r="F283" s="98"/>
      <c r="K283" s="32"/>
      <c r="L283" s="32"/>
      <c r="M283" s="98"/>
      <c r="N283" s="98"/>
      <c r="O283" s="98"/>
      <c r="P283" s="98"/>
      <c r="Q283" s="32"/>
      <c r="R283" s="32"/>
      <c r="S283" s="32"/>
      <c r="T283" s="32"/>
      <c r="U283" s="32"/>
    </row>
    <row r="284" ht="14.25" customHeight="1">
      <c r="A284" s="97"/>
      <c r="B284" s="97"/>
      <c r="C284" s="98"/>
      <c r="D284" s="98"/>
      <c r="E284" s="97"/>
      <c r="F284" s="98"/>
      <c r="K284" s="32"/>
      <c r="L284" s="32"/>
      <c r="M284" s="98"/>
      <c r="N284" s="98"/>
      <c r="O284" s="98"/>
      <c r="P284" s="98"/>
      <c r="Q284" s="32"/>
      <c r="R284" s="32"/>
      <c r="S284" s="32"/>
      <c r="T284" s="32"/>
      <c r="U284" s="32"/>
    </row>
    <row r="285" ht="14.25" customHeight="1">
      <c r="A285" s="97"/>
      <c r="B285" s="97"/>
      <c r="C285" s="98"/>
      <c r="D285" s="98"/>
      <c r="E285" s="97"/>
      <c r="F285" s="98"/>
      <c r="K285" s="32"/>
      <c r="L285" s="32"/>
      <c r="M285" s="98"/>
      <c r="N285" s="98"/>
      <c r="O285" s="98"/>
      <c r="P285" s="98"/>
      <c r="Q285" s="32"/>
      <c r="R285" s="32"/>
      <c r="S285" s="32"/>
      <c r="T285" s="32"/>
      <c r="U285" s="32"/>
    </row>
    <row r="286" ht="14.25" customHeight="1">
      <c r="A286" s="97"/>
      <c r="B286" s="97"/>
      <c r="C286" s="98"/>
      <c r="D286" s="98"/>
      <c r="E286" s="97"/>
      <c r="F286" s="98"/>
      <c r="K286" s="32"/>
      <c r="L286" s="32"/>
      <c r="M286" s="98"/>
      <c r="N286" s="98"/>
      <c r="O286" s="98"/>
      <c r="P286" s="98"/>
      <c r="Q286" s="32"/>
      <c r="R286" s="32"/>
      <c r="S286" s="32"/>
      <c r="T286" s="32"/>
      <c r="U286" s="32"/>
    </row>
    <row r="287" ht="14.25" customHeight="1">
      <c r="A287" s="97"/>
      <c r="B287" s="97"/>
      <c r="C287" s="98"/>
      <c r="D287" s="98"/>
      <c r="E287" s="97"/>
      <c r="F287" s="98"/>
      <c r="K287" s="32"/>
      <c r="L287" s="32"/>
      <c r="M287" s="98"/>
      <c r="N287" s="98"/>
      <c r="O287" s="98"/>
      <c r="P287" s="98"/>
      <c r="Q287" s="32"/>
      <c r="R287" s="32"/>
      <c r="S287" s="32"/>
      <c r="T287" s="32"/>
      <c r="U287" s="32"/>
    </row>
    <row r="288" ht="14.25" customHeight="1">
      <c r="A288" s="97"/>
      <c r="B288" s="97"/>
      <c r="C288" s="98"/>
      <c r="D288" s="98"/>
      <c r="E288" s="97"/>
      <c r="F288" s="98"/>
      <c r="K288" s="32"/>
      <c r="L288" s="32"/>
      <c r="M288" s="98"/>
      <c r="N288" s="98"/>
      <c r="O288" s="98"/>
      <c r="P288" s="98"/>
      <c r="Q288" s="32"/>
      <c r="R288" s="32"/>
      <c r="S288" s="32"/>
      <c r="T288" s="32"/>
      <c r="U288" s="32"/>
    </row>
    <row r="289" ht="14.25" customHeight="1">
      <c r="A289" s="97"/>
      <c r="B289" s="97"/>
      <c r="C289" s="98"/>
      <c r="D289" s="98"/>
      <c r="E289" s="97"/>
      <c r="F289" s="98"/>
      <c r="K289" s="32"/>
      <c r="L289" s="32"/>
      <c r="M289" s="98"/>
      <c r="N289" s="98"/>
      <c r="O289" s="98"/>
      <c r="P289" s="98"/>
      <c r="Q289" s="32"/>
      <c r="R289" s="32"/>
      <c r="S289" s="32"/>
      <c r="T289" s="32"/>
      <c r="U289" s="32"/>
    </row>
    <row r="290" ht="14.25" customHeight="1">
      <c r="A290" s="97"/>
      <c r="B290" s="97"/>
      <c r="C290" s="98"/>
      <c r="D290" s="98"/>
      <c r="E290" s="97"/>
      <c r="F290" s="98"/>
      <c r="K290" s="32"/>
      <c r="L290" s="32"/>
      <c r="M290" s="98"/>
      <c r="N290" s="98"/>
      <c r="O290" s="98"/>
      <c r="P290" s="98"/>
      <c r="Q290" s="32"/>
      <c r="R290" s="32"/>
      <c r="S290" s="32"/>
      <c r="T290" s="32"/>
      <c r="U290" s="32"/>
    </row>
    <row r="291" ht="14.25" customHeight="1">
      <c r="A291" s="97"/>
      <c r="B291" s="97"/>
      <c r="C291" s="98"/>
      <c r="D291" s="98"/>
      <c r="E291" s="97"/>
      <c r="F291" s="98"/>
      <c r="K291" s="32"/>
      <c r="L291" s="32"/>
      <c r="M291" s="98"/>
      <c r="N291" s="98"/>
      <c r="O291" s="98"/>
      <c r="P291" s="98"/>
      <c r="Q291" s="32"/>
      <c r="R291" s="32"/>
      <c r="S291" s="32"/>
      <c r="T291" s="32"/>
      <c r="U291" s="32"/>
    </row>
    <row r="292" ht="14.25" customHeight="1">
      <c r="A292" s="97"/>
      <c r="B292" s="97"/>
      <c r="C292" s="98"/>
      <c r="D292" s="98"/>
      <c r="E292" s="97"/>
      <c r="F292" s="98"/>
      <c r="K292" s="32"/>
      <c r="L292" s="32"/>
      <c r="M292" s="98"/>
      <c r="N292" s="98"/>
      <c r="O292" s="98"/>
      <c r="P292" s="98"/>
      <c r="Q292" s="32"/>
      <c r="R292" s="32"/>
      <c r="S292" s="32"/>
      <c r="T292" s="32"/>
      <c r="U292" s="32"/>
    </row>
    <row r="293" ht="14.25" customHeight="1">
      <c r="A293" s="97"/>
      <c r="B293" s="97"/>
      <c r="C293" s="98"/>
      <c r="D293" s="98"/>
      <c r="E293" s="97"/>
      <c r="F293" s="98"/>
      <c r="K293" s="32"/>
      <c r="L293" s="32"/>
      <c r="M293" s="98"/>
      <c r="N293" s="98"/>
      <c r="O293" s="98"/>
      <c r="P293" s="98"/>
      <c r="Q293" s="32"/>
      <c r="R293" s="32"/>
      <c r="S293" s="32"/>
      <c r="T293" s="32"/>
      <c r="U293" s="32"/>
    </row>
    <row r="294" ht="14.25" customHeight="1">
      <c r="A294" s="97"/>
      <c r="B294" s="97"/>
      <c r="C294" s="98"/>
      <c r="D294" s="98"/>
      <c r="E294" s="97"/>
      <c r="F294" s="98"/>
      <c r="K294" s="32"/>
      <c r="L294" s="32"/>
      <c r="M294" s="98"/>
      <c r="N294" s="98"/>
      <c r="O294" s="98"/>
      <c r="P294" s="98"/>
      <c r="Q294" s="32"/>
      <c r="R294" s="32"/>
      <c r="S294" s="32"/>
      <c r="T294" s="32"/>
      <c r="U294" s="32"/>
    </row>
    <row r="295" ht="14.25" customHeight="1">
      <c r="A295" s="97"/>
      <c r="B295" s="97"/>
      <c r="C295" s="98"/>
      <c r="D295" s="98"/>
      <c r="E295" s="97"/>
      <c r="F295" s="98"/>
      <c r="K295" s="32"/>
      <c r="L295" s="32"/>
      <c r="M295" s="98"/>
      <c r="N295" s="98"/>
      <c r="O295" s="98"/>
      <c r="P295" s="98"/>
      <c r="Q295" s="32"/>
      <c r="R295" s="32"/>
      <c r="S295" s="32"/>
      <c r="T295" s="32"/>
      <c r="U295" s="32"/>
    </row>
    <row r="296" ht="14.25" customHeight="1">
      <c r="A296" s="97"/>
      <c r="B296" s="97"/>
      <c r="C296" s="98"/>
      <c r="D296" s="98"/>
      <c r="E296" s="97"/>
      <c r="F296" s="98"/>
      <c r="K296" s="32"/>
      <c r="L296" s="32"/>
      <c r="M296" s="98"/>
      <c r="N296" s="98"/>
      <c r="O296" s="98"/>
      <c r="P296" s="98"/>
      <c r="Q296" s="32"/>
      <c r="R296" s="32"/>
      <c r="S296" s="32"/>
      <c r="T296" s="32"/>
      <c r="U296" s="32"/>
    </row>
    <row r="297" ht="14.25" customHeight="1">
      <c r="A297" s="97"/>
      <c r="B297" s="97"/>
      <c r="C297" s="98"/>
      <c r="D297" s="98"/>
      <c r="E297" s="97"/>
      <c r="F297" s="98"/>
      <c r="K297" s="32"/>
      <c r="L297" s="32"/>
      <c r="M297" s="98"/>
      <c r="N297" s="98"/>
      <c r="O297" s="98"/>
      <c r="P297" s="98"/>
      <c r="Q297" s="32"/>
      <c r="R297" s="32"/>
      <c r="S297" s="32"/>
      <c r="T297" s="32"/>
      <c r="U297" s="32"/>
    </row>
    <row r="298" ht="14.25" customHeight="1">
      <c r="A298" s="97"/>
      <c r="B298" s="97"/>
      <c r="C298" s="98"/>
      <c r="D298" s="98"/>
      <c r="E298" s="97"/>
      <c r="F298" s="98"/>
      <c r="K298" s="32"/>
      <c r="L298" s="32"/>
      <c r="M298" s="98"/>
      <c r="N298" s="98"/>
      <c r="O298" s="98"/>
      <c r="P298" s="98"/>
      <c r="Q298" s="32"/>
      <c r="R298" s="32"/>
      <c r="S298" s="32"/>
      <c r="T298" s="32"/>
      <c r="U298" s="32"/>
    </row>
    <row r="299" ht="14.25" customHeight="1">
      <c r="A299" s="97"/>
      <c r="B299" s="97"/>
      <c r="C299" s="98"/>
      <c r="D299" s="98"/>
      <c r="E299" s="97"/>
      <c r="F299" s="98"/>
      <c r="K299" s="32"/>
      <c r="L299" s="32"/>
      <c r="M299" s="98"/>
      <c r="N299" s="98"/>
      <c r="O299" s="98"/>
      <c r="P299" s="98"/>
      <c r="Q299" s="32"/>
      <c r="R299" s="32"/>
      <c r="S299" s="32"/>
      <c r="T299" s="32"/>
      <c r="U299" s="32"/>
    </row>
    <row r="300" ht="14.25" customHeight="1">
      <c r="A300" s="97"/>
      <c r="B300" s="97"/>
      <c r="C300" s="98"/>
      <c r="D300" s="98"/>
      <c r="E300" s="97"/>
      <c r="F300" s="98"/>
      <c r="K300" s="32"/>
      <c r="L300" s="32"/>
      <c r="M300" s="98"/>
      <c r="N300" s="98"/>
      <c r="O300" s="98"/>
      <c r="P300" s="98"/>
      <c r="Q300" s="32"/>
      <c r="R300" s="32"/>
      <c r="S300" s="32"/>
      <c r="T300" s="32"/>
      <c r="U300" s="32"/>
    </row>
    <row r="301" ht="14.25" customHeight="1">
      <c r="A301" s="97"/>
      <c r="B301" s="97"/>
      <c r="C301" s="98"/>
      <c r="D301" s="98"/>
      <c r="E301" s="97"/>
      <c r="F301" s="98"/>
      <c r="K301" s="32"/>
      <c r="L301" s="32"/>
      <c r="M301" s="98"/>
      <c r="N301" s="98"/>
      <c r="O301" s="98"/>
      <c r="P301" s="98"/>
      <c r="Q301" s="32"/>
      <c r="R301" s="32"/>
      <c r="S301" s="32"/>
      <c r="T301" s="32"/>
      <c r="U301" s="32"/>
    </row>
    <row r="302" ht="14.25" customHeight="1">
      <c r="A302" s="97"/>
      <c r="B302" s="97"/>
      <c r="C302" s="98"/>
      <c r="D302" s="98"/>
      <c r="E302" s="97"/>
      <c r="F302" s="98"/>
      <c r="K302" s="32"/>
      <c r="L302" s="32"/>
      <c r="M302" s="98"/>
      <c r="N302" s="98"/>
      <c r="O302" s="98"/>
      <c r="P302" s="98"/>
      <c r="Q302" s="32"/>
      <c r="R302" s="32"/>
      <c r="S302" s="32"/>
      <c r="T302" s="32"/>
      <c r="U302" s="32"/>
    </row>
    <row r="303" ht="14.25" customHeight="1">
      <c r="A303" s="97"/>
      <c r="B303" s="97"/>
      <c r="C303" s="98"/>
      <c r="D303" s="98"/>
      <c r="E303" s="97"/>
      <c r="F303" s="98"/>
      <c r="K303" s="32"/>
      <c r="L303" s="32"/>
      <c r="M303" s="98"/>
      <c r="N303" s="98"/>
      <c r="O303" s="98"/>
      <c r="P303" s="98"/>
      <c r="Q303" s="32"/>
      <c r="R303" s="32"/>
      <c r="S303" s="32"/>
      <c r="T303" s="32"/>
      <c r="U303" s="32"/>
    </row>
    <row r="304" ht="14.25" customHeight="1">
      <c r="A304" s="97"/>
      <c r="B304" s="97"/>
      <c r="C304" s="98"/>
      <c r="D304" s="98"/>
      <c r="E304" s="97"/>
      <c r="F304" s="98"/>
      <c r="K304" s="32"/>
      <c r="L304" s="32"/>
      <c r="M304" s="98"/>
      <c r="N304" s="98"/>
      <c r="O304" s="98"/>
      <c r="P304" s="98"/>
      <c r="Q304" s="32"/>
      <c r="R304" s="32"/>
      <c r="S304" s="32"/>
      <c r="T304" s="32"/>
      <c r="U304" s="32"/>
    </row>
    <row r="305" ht="15.75" customHeight="1">
      <c r="A305" s="98"/>
      <c r="C305" s="98"/>
      <c r="M305" s="98"/>
      <c r="N305" s="98"/>
      <c r="O305" s="98"/>
      <c r="P305" s="98"/>
    </row>
    <row r="306" ht="15.75" customHeight="1">
      <c r="C306" s="98"/>
      <c r="M306" s="98"/>
      <c r="N306" s="98"/>
      <c r="O306" s="98"/>
      <c r="P306" s="98"/>
    </row>
    <row r="307" ht="15.75" customHeight="1">
      <c r="C307" s="98"/>
      <c r="M307" s="98"/>
      <c r="N307" s="98"/>
      <c r="O307" s="98"/>
      <c r="P307" s="98"/>
    </row>
    <row r="308" ht="15.75" customHeight="1">
      <c r="C308" s="98"/>
      <c r="M308" s="98"/>
      <c r="N308" s="98"/>
      <c r="O308" s="98"/>
      <c r="P308" s="98"/>
    </row>
    <row r="309" ht="15.75" customHeight="1">
      <c r="C309" s="98"/>
      <c r="M309" s="98"/>
      <c r="N309" s="98"/>
      <c r="O309" s="98"/>
      <c r="P309" s="98"/>
    </row>
    <row r="310" ht="15.75" customHeight="1">
      <c r="C310" s="98"/>
      <c r="M310" s="98"/>
      <c r="N310" s="98"/>
      <c r="O310" s="98"/>
      <c r="P310" s="98"/>
    </row>
    <row r="311" ht="15.75" customHeight="1">
      <c r="C311" s="98"/>
      <c r="M311" s="98"/>
      <c r="N311" s="98"/>
      <c r="O311" s="98"/>
      <c r="P311" s="98"/>
    </row>
    <row r="312" ht="15.75" customHeight="1">
      <c r="C312" s="98"/>
      <c r="M312" s="98"/>
      <c r="N312" s="98"/>
      <c r="O312" s="98"/>
      <c r="P312" s="98"/>
    </row>
    <row r="313" ht="15.75" customHeight="1">
      <c r="C313" s="98"/>
      <c r="M313" s="98"/>
      <c r="N313" s="98"/>
      <c r="O313" s="98"/>
      <c r="P313" s="98"/>
    </row>
    <row r="314" ht="15.75" customHeight="1">
      <c r="C314" s="98"/>
      <c r="M314" s="98"/>
      <c r="N314" s="98"/>
      <c r="O314" s="98"/>
      <c r="P314" s="98"/>
    </row>
    <row r="315" ht="15.75" customHeight="1">
      <c r="C315" s="98"/>
      <c r="M315" s="98"/>
      <c r="N315" s="98"/>
      <c r="O315" s="98"/>
      <c r="P315" s="98"/>
    </row>
    <row r="316" ht="15.75" customHeight="1">
      <c r="C316" s="98"/>
      <c r="M316" s="98"/>
      <c r="N316" s="98"/>
      <c r="O316" s="98"/>
      <c r="P316" s="98"/>
    </row>
    <row r="317" ht="15.75" customHeight="1">
      <c r="C317" s="98"/>
      <c r="M317" s="98"/>
      <c r="N317" s="98"/>
      <c r="O317" s="98"/>
      <c r="P317" s="98"/>
    </row>
    <row r="318" ht="15.75" customHeight="1">
      <c r="C318" s="98"/>
      <c r="M318" s="98"/>
      <c r="N318" s="98"/>
      <c r="O318" s="98"/>
      <c r="P318" s="98"/>
    </row>
    <row r="319" ht="15.75" customHeight="1">
      <c r="C319" s="98"/>
      <c r="M319" s="98"/>
      <c r="N319" s="98"/>
      <c r="O319" s="98"/>
      <c r="P319" s="98"/>
    </row>
    <row r="320" ht="15.75" customHeight="1">
      <c r="C320" s="98"/>
      <c r="M320" s="98"/>
      <c r="N320" s="98"/>
      <c r="O320" s="98"/>
      <c r="P320" s="98"/>
    </row>
    <row r="321" ht="15.75" customHeight="1">
      <c r="C321" s="98"/>
      <c r="M321" s="98"/>
      <c r="N321" s="98"/>
      <c r="O321" s="98"/>
      <c r="P321" s="98"/>
    </row>
    <row r="322" ht="15.75" customHeight="1">
      <c r="C322" s="98"/>
      <c r="M322" s="98"/>
      <c r="N322" s="98"/>
      <c r="O322" s="98"/>
      <c r="P322" s="98"/>
    </row>
    <row r="323" ht="15.75" customHeight="1">
      <c r="C323" s="98"/>
      <c r="M323" s="98"/>
      <c r="N323" s="98"/>
      <c r="O323" s="98"/>
      <c r="P323" s="98"/>
    </row>
    <row r="324" ht="15.75" customHeight="1">
      <c r="C324" s="98"/>
      <c r="M324" s="98"/>
      <c r="N324" s="98"/>
      <c r="O324" s="98"/>
      <c r="P324" s="98"/>
    </row>
    <row r="325" ht="15.75" customHeight="1">
      <c r="C325" s="98"/>
      <c r="M325" s="98"/>
      <c r="N325" s="98"/>
      <c r="O325" s="98"/>
      <c r="P325" s="98"/>
    </row>
    <row r="326" ht="15.75" customHeight="1">
      <c r="C326" s="98"/>
      <c r="M326" s="98"/>
      <c r="N326" s="98"/>
      <c r="O326" s="98"/>
      <c r="P326" s="98"/>
    </row>
    <row r="327" ht="15.75" customHeight="1">
      <c r="C327" s="98"/>
      <c r="M327" s="98"/>
      <c r="N327" s="98"/>
      <c r="O327" s="98"/>
      <c r="P327" s="98"/>
    </row>
    <row r="328" ht="15.75" customHeight="1">
      <c r="C328" s="98"/>
      <c r="M328" s="98"/>
      <c r="N328" s="98"/>
      <c r="O328" s="98"/>
      <c r="P328" s="98"/>
    </row>
    <row r="329" ht="15.75" customHeight="1">
      <c r="C329" s="98"/>
      <c r="M329" s="98"/>
      <c r="N329" s="98"/>
      <c r="O329" s="98"/>
      <c r="P329" s="98"/>
    </row>
    <row r="330" ht="15.75" customHeight="1">
      <c r="C330" s="98"/>
      <c r="M330" s="98"/>
      <c r="N330" s="98"/>
      <c r="O330" s="98"/>
      <c r="P330" s="98"/>
    </row>
    <row r="331" ht="15.75" customHeight="1">
      <c r="C331" s="98"/>
      <c r="M331" s="98"/>
      <c r="N331" s="98"/>
      <c r="O331" s="98"/>
      <c r="P331" s="98"/>
    </row>
    <row r="332" ht="15.75" customHeight="1">
      <c r="C332" s="98"/>
      <c r="M332" s="98"/>
      <c r="N332" s="98"/>
      <c r="O332" s="98"/>
      <c r="P332" s="98"/>
    </row>
    <row r="333" ht="15.75" customHeight="1">
      <c r="C333" s="98"/>
      <c r="M333" s="98"/>
      <c r="N333" s="98"/>
      <c r="O333" s="98"/>
      <c r="P333" s="98"/>
    </row>
    <row r="334" ht="15.75" customHeight="1">
      <c r="C334" s="98"/>
      <c r="M334" s="98"/>
      <c r="N334" s="98"/>
      <c r="O334" s="98"/>
      <c r="P334" s="98"/>
    </row>
    <row r="335" ht="15.75" customHeight="1">
      <c r="C335" s="98"/>
      <c r="M335" s="98"/>
      <c r="N335" s="98"/>
      <c r="O335" s="98"/>
      <c r="P335" s="98"/>
    </row>
    <row r="336" ht="15.75" customHeight="1">
      <c r="C336" s="98"/>
      <c r="M336" s="98"/>
      <c r="N336" s="98"/>
      <c r="O336" s="98"/>
      <c r="P336" s="98"/>
    </row>
    <row r="337" ht="15.75" customHeight="1">
      <c r="C337" s="98"/>
      <c r="M337" s="98"/>
      <c r="N337" s="98"/>
      <c r="O337" s="98"/>
      <c r="P337" s="98"/>
    </row>
    <row r="338" ht="15.75" customHeight="1">
      <c r="C338" s="98"/>
      <c r="M338" s="98"/>
      <c r="N338" s="98"/>
      <c r="O338" s="98"/>
      <c r="P338" s="98"/>
    </row>
    <row r="339" ht="15.75" customHeight="1">
      <c r="C339" s="98"/>
      <c r="M339" s="98"/>
      <c r="N339" s="98"/>
      <c r="O339" s="98"/>
      <c r="P339" s="98"/>
    </row>
    <row r="340" ht="15.75" customHeight="1">
      <c r="C340" s="98"/>
      <c r="M340" s="98"/>
      <c r="N340" s="98"/>
      <c r="O340" s="98"/>
      <c r="P340" s="98"/>
    </row>
    <row r="341" ht="15.75" customHeight="1">
      <c r="C341" s="98"/>
      <c r="M341" s="98"/>
      <c r="N341" s="98"/>
      <c r="O341" s="98"/>
      <c r="P341" s="98"/>
    </row>
    <row r="342" ht="15.75" customHeight="1">
      <c r="C342" s="98"/>
      <c r="M342" s="98"/>
      <c r="N342" s="98"/>
      <c r="O342" s="98"/>
      <c r="P342" s="98"/>
    </row>
    <row r="343" ht="15.75" customHeight="1">
      <c r="C343" s="98"/>
      <c r="M343" s="98"/>
      <c r="N343" s="98"/>
      <c r="O343" s="98"/>
      <c r="P343" s="98"/>
    </row>
    <row r="344" ht="15.75" customHeight="1">
      <c r="C344" s="98"/>
      <c r="M344" s="98"/>
      <c r="N344" s="98"/>
      <c r="O344" s="98"/>
      <c r="P344" s="98"/>
    </row>
    <row r="345" ht="15.75" customHeight="1">
      <c r="C345" s="98"/>
      <c r="M345" s="98"/>
      <c r="N345" s="98"/>
      <c r="O345" s="98"/>
      <c r="P345" s="98"/>
    </row>
    <row r="346" ht="15.75" customHeight="1">
      <c r="C346" s="98"/>
      <c r="M346" s="98"/>
      <c r="N346" s="98"/>
      <c r="O346" s="98"/>
      <c r="P346" s="98"/>
    </row>
    <row r="347" ht="15.75" customHeight="1">
      <c r="C347" s="98"/>
      <c r="M347" s="98"/>
      <c r="N347" s="98"/>
      <c r="O347" s="98"/>
      <c r="P347" s="98"/>
    </row>
    <row r="348" ht="15.75" customHeight="1">
      <c r="C348" s="98"/>
      <c r="M348" s="98"/>
      <c r="N348" s="98"/>
      <c r="O348" s="98"/>
      <c r="P348" s="98"/>
    </row>
    <row r="349" ht="15.75" customHeight="1">
      <c r="C349" s="98"/>
      <c r="M349" s="98"/>
      <c r="N349" s="98"/>
      <c r="O349" s="98"/>
      <c r="P349" s="98"/>
    </row>
    <row r="350" ht="15.75" customHeight="1">
      <c r="C350" s="98"/>
      <c r="M350" s="98"/>
      <c r="N350" s="98"/>
      <c r="O350" s="98"/>
      <c r="P350" s="98"/>
    </row>
    <row r="351" ht="15.75" customHeight="1">
      <c r="C351" s="98"/>
      <c r="M351" s="98"/>
      <c r="N351" s="98"/>
      <c r="O351" s="98"/>
      <c r="P351" s="98"/>
    </row>
    <row r="352" ht="15.75" customHeight="1">
      <c r="C352" s="98"/>
      <c r="M352" s="98"/>
      <c r="N352" s="98"/>
      <c r="O352" s="98"/>
      <c r="P352" s="98"/>
    </row>
    <row r="353" ht="15.75" customHeight="1">
      <c r="C353" s="98"/>
      <c r="M353" s="98"/>
      <c r="N353" s="98"/>
      <c r="O353" s="98"/>
      <c r="P353" s="98"/>
    </row>
    <row r="354" ht="15.75" customHeight="1">
      <c r="C354" s="98"/>
      <c r="M354" s="98"/>
      <c r="N354" s="98"/>
      <c r="O354" s="98"/>
      <c r="P354" s="98"/>
    </row>
    <row r="355" ht="15.75" customHeight="1">
      <c r="C355" s="98"/>
      <c r="M355" s="98"/>
      <c r="N355" s="98"/>
      <c r="O355" s="98"/>
      <c r="P355" s="98"/>
    </row>
    <row r="356" ht="15.75" customHeight="1">
      <c r="C356" s="98"/>
      <c r="M356" s="98"/>
      <c r="N356" s="98"/>
      <c r="O356" s="98"/>
      <c r="P356" s="98"/>
    </row>
    <row r="357" ht="15.75" customHeight="1">
      <c r="C357" s="98"/>
      <c r="M357" s="98"/>
      <c r="N357" s="98"/>
      <c r="O357" s="98"/>
      <c r="P357" s="98"/>
    </row>
    <row r="358" ht="15.75" customHeight="1">
      <c r="C358" s="98"/>
      <c r="M358" s="98"/>
      <c r="N358" s="98"/>
      <c r="O358" s="98"/>
      <c r="P358" s="98"/>
    </row>
    <row r="359" ht="15.75" customHeight="1">
      <c r="C359" s="98"/>
      <c r="M359" s="98"/>
      <c r="N359" s="98"/>
      <c r="O359" s="98"/>
      <c r="P359" s="98"/>
    </row>
    <row r="360" ht="15.75" customHeight="1">
      <c r="C360" s="98"/>
      <c r="M360" s="98"/>
      <c r="N360" s="98"/>
      <c r="O360" s="98"/>
      <c r="P360" s="98"/>
    </row>
    <row r="361" ht="15.75" customHeight="1">
      <c r="C361" s="98"/>
      <c r="M361" s="98"/>
      <c r="N361" s="98"/>
      <c r="O361" s="98"/>
      <c r="P361" s="98"/>
    </row>
    <row r="362" ht="15.75" customHeight="1">
      <c r="C362" s="98"/>
      <c r="M362" s="98"/>
      <c r="N362" s="98"/>
      <c r="O362" s="98"/>
      <c r="P362" s="98"/>
    </row>
    <row r="363" ht="15.75" customHeight="1">
      <c r="C363" s="98"/>
      <c r="M363" s="98"/>
      <c r="N363" s="98"/>
      <c r="O363" s="98"/>
      <c r="P363" s="98"/>
    </row>
    <row r="364" ht="15.75" customHeight="1">
      <c r="C364" s="98"/>
      <c r="M364" s="98"/>
      <c r="N364" s="98"/>
      <c r="O364" s="98"/>
      <c r="P364" s="98"/>
    </row>
    <row r="365" ht="15.75" customHeight="1">
      <c r="C365" s="98"/>
      <c r="M365" s="98"/>
      <c r="N365" s="98"/>
      <c r="O365" s="98"/>
      <c r="P365" s="98"/>
    </row>
    <row r="366" ht="15.75" customHeight="1">
      <c r="C366" s="98"/>
      <c r="M366" s="98"/>
      <c r="N366" s="98"/>
      <c r="O366" s="98"/>
      <c r="P366" s="98"/>
    </row>
    <row r="367" ht="15.75" customHeight="1">
      <c r="C367" s="98"/>
      <c r="M367" s="98"/>
      <c r="N367" s="98"/>
      <c r="O367" s="98"/>
      <c r="P367" s="98"/>
    </row>
    <row r="368" ht="15.75" customHeight="1">
      <c r="C368" s="98"/>
      <c r="M368" s="98"/>
      <c r="N368" s="98"/>
      <c r="O368" s="98"/>
      <c r="P368" s="98"/>
    </row>
    <row r="369" ht="15.75" customHeight="1">
      <c r="C369" s="98"/>
      <c r="M369" s="98"/>
      <c r="N369" s="98"/>
      <c r="O369" s="98"/>
      <c r="P369" s="98"/>
    </row>
    <row r="370" ht="15.75" customHeight="1">
      <c r="C370" s="98"/>
      <c r="M370" s="98"/>
      <c r="N370" s="98"/>
      <c r="O370" s="98"/>
      <c r="P370" s="98"/>
    </row>
    <row r="371" ht="15.75" customHeight="1">
      <c r="C371" s="98"/>
      <c r="M371" s="98"/>
      <c r="N371" s="98"/>
      <c r="O371" s="98"/>
      <c r="P371" s="98"/>
    </row>
    <row r="372" ht="15.75" customHeight="1">
      <c r="C372" s="98"/>
      <c r="M372" s="98"/>
      <c r="N372" s="98"/>
      <c r="O372" s="98"/>
      <c r="P372" s="98"/>
    </row>
    <row r="373" ht="15.75" customHeight="1">
      <c r="C373" s="98"/>
      <c r="M373" s="98"/>
      <c r="N373" s="98"/>
      <c r="O373" s="98"/>
      <c r="P373" s="98"/>
    </row>
    <row r="374" ht="15.75" customHeight="1">
      <c r="C374" s="98"/>
      <c r="M374" s="98"/>
      <c r="N374" s="98"/>
      <c r="O374" s="98"/>
      <c r="P374" s="98"/>
    </row>
    <row r="375" ht="15.75" customHeight="1">
      <c r="C375" s="98"/>
      <c r="M375" s="98"/>
      <c r="N375" s="98"/>
      <c r="O375" s="98"/>
      <c r="P375" s="98"/>
    </row>
    <row r="376" ht="15.75" customHeight="1">
      <c r="C376" s="98"/>
      <c r="M376" s="98"/>
      <c r="N376" s="98"/>
      <c r="O376" s="98"/>
      <c r="P376" s="98"/>
    </row>
    <row r="377" ht="15.75" customHeight="1">
      <c r="C377" s="98"/>
      <c r="M377" s="98"/>
      <c r="N377" s="98"/>
      <c r="O377" s="98"/>
      <c r="P377" s="98"/>
    </row>
    <row r="378" ht="15.75" customHeight="1">
      <c r="C378" s="98"/>
      <c r="M378" s="98"/>
      <c r="N378" s="98"/>
      <c r="O378" s="98"/>
      <c r="P378" s="98"/>
    </row>
    <row r="379" ht="15.75" customHeight="1">
      <c r="C379" s="98"/>
      <c r="M379" s="98"/>
      <c r="N379" s="98"/>
      <c r="O379" s="98"/>
      <c r="P379" s="98"/>
    </row>
    <row r="380" ht="15.75" customHeight="1">
      <c r="C380" s="98"/>
      <c r="M380" s="98"/>
      <c r="N380" s="98"/>
      <c r="O380" s="98"/>
      <c r="P380" s="98"/>
    </row>
    <row r="381" ht="15.75" customHeight="1">
      <c r="C381" s="98"/>
      <c r="M381" s="98"/>
      <c r="N381" s="98"/>
      <c r="O381" s="98"/>
      <c r="P381" s="98"/>
    </row>
    <row r="382" ht="15.75" customHeight="1">
      <c r="C382" s="98"/>
      <c r="M382" s="98"/>
      <c r="N382" s="98"/>
      <c r="O382" s="98"/>
      <c r="P382" s="98"/>
    </row>
    <row r="383" ht="15.75" customHeight="1">
      <c r="C383" s="98"/>
      <c r="M383" s="98"/>
      <c r="N383" s="98"/>
      <c r="O383" s="98"/>
      <c r="P383" s="98"/>
    </row>
    <row r="384" ht="15.75" customHeight="1">
      <c r="C384" s="98"/>
      <c r="M384" s="98"/>
      <c r="N384" s="98"/>
      <c r="O384" s="98"/>
      <c r="P384" s="98"/>
    </row>
    <row r="385" ht="15.75" customHeight="1">
      <c r="C385" s="98"/>
      <c r="M385" s="98"/>
      <c r="N385" s="98"/>
      <c r="O385" s="98"/>
      <c r="P385" s="98"/>
    </row>
    <row r="386" ht="15.75" customHeight="1">
      <c r="C386" s="98"/>
      <c r="M386" s="98"/>
      <c r="N386" s="98"/>
      <c r="O386" s="98"/>
      <c r="P386" s="98"/>
    </row>
    <row r="387" ht="15.75" customHeight="1">
      <c r="C387" s="98"/>
      <c r="M387" s="98"/>
      <c r="N387" s="98"/>
      <c r="O387" s="98"/>
      <c r="P387" s="98"/>
    </row>
    <row r="388" ht="15.75" customHeight="1">
      <c r="C388" s="98"/>
      <c r="M388" s="98"/>
      <c r="N388" s="98"/>
      <c r="O388" s="98"/>
      <c r="P388" s="98"/>
    </row>
    <row r="389" ht="15.75" customHeight="1">
      <c r="C389" s="98"/>
      <c r="M389" s="98"/>
      <c r="N389" s="98"/>
      <c r="O389" s="98"/>
      <c r="P389" s="98"/>
    </row>
    <row r="390" ht="15.75" customHeight="1">
      <c r="C390" s="98"/>
      <c r="M390" s="98"/>
      <c r="N390" s="98"/>
      <c r="O390" s="98"/>
      <c r="P390" s="98"/>
    </row>
    <row r="391" ht="15.75" customHeight="1">
      <c r="C391" s="98"/>
      <c r="M391" s="98"/>
      <c r="N391" s="98"/>
      <c r="O391" s="98"/>
      <c r="P391" s="98"/>
    </row>
    <row r="392" ht="15.75" customHeight="1">
      <c r="C392" s="98"/>
      <c r="M392" s="98"/>
      <c r="N392" s="98"/>
      <c r="O392" s="98"/>
      <c r="P392" s="98"/>
    </row>
    <row r="393" ht="15.75" customHeight="1">
      <c r="C393" s="98"/>
      <c r="M393" s="98"/>
      <c r="N393" s="98"/>
      <c r="O393" s="98"/>
      <c r="P393" s="98"/>
    </row>
    <row r="394" ht="15.75" customHeight="1">
      <c r="C394" s="98"/>
      <c r="M394" s="98"/>
      <c r="N394" s="98"/>
      <c r="O394" s="98"/>
      <c r="P394" s="98"/>
    </row>
    <row r="395" ht="15.75" customHeight="1">
      <c r="C395" s="98"/>
      <c r="M395" s="98"/>
      <c r="N395" s="98"/>
      <c r="O395" s="98"/>
      <c r="P395" s="98"/>
    </row>
    <row r="396" ht="15.75" customHeight="1">
      <c r="C396" s="98"/>
      <c r="M396" s="98"/>
      <c r="N396" s="98"/>
      <c r="O396" s="98"/>
      <c r="P396" s="98"/>
    </row>
    <row r="397" ht="15.75" customHeight="1">
      <c r="C397" s="98"/>
      <c r="M397" s="98"/>
      <c r="N397" s="98"/>
      <c r="O397" s="98"/>
      <c r="P397" s="98"/>
    </row>
    <row r="398" ht="15.75" customHeight="1">
      <c r="C398" s="98"/>
      <c r="M398" s="98"/>
      <c r="N398" s="98"/>
      <c r="O398" s="98"/>
      <c r="P398" s="98"/>
    </row>
    <row r="399" ht="15.75" customHeight="1">
      <c r="C399" s="98"/>
      <c r="M399" s="98"/>
      <c r="N399" s="98"/>
      <c r="O399" s="98"/>
      <c r="P399" s="98"/>
    </row>
    <row r="400" ht="15.75" customHeight="1">
      <c r="C400" s="98"/>
      <c r="M400" s="98"/>
      <c r="N400" s="98"/>
      <c r="O400" s="98"/>
      <c r="P400" s="98"/>
    </row>
    <row r="401" ht="15.75" customHeight="1">
      <c r="C401" s="98"/>
      <c r="M401" s="98"/>
      <c r="N401" s="98"/>
      <c r="O401" s="98"/>
      <c r="P401" s="98"/>
    </row>
    <row r="402" ht="15.75" customHeight="1">
      <c r="C402" s="98"/>
      <c r="M402" s="98"/>
      <c r="N402" s="98"/>
      <c r="O402" s="98"/>
      <c r="P402" s="98"/>
    </row>
    <row r="403" ht="15.75" customHeight="1">
      <c r="C403" s="98"/>
      <c r="M403" s="98"/>
      <c r="N403" s="98"/>
      <c r="O403" s="98"/>
      <c r="P403" s="98"/>
    </row>
    <row r="404" ht="15.75" customHeight="1">
      <c r="C404" s="98"/>
      <c r="M404" s="98"/>
      <c r="N404" s="98"/>
      <c r="O404" s="98"/>
      <c r="P404" s="98"/>
    </row>
    <row r="405" ht="15.75" customHeight="1">
      <c r="C405" s="98"/>
      <c r="M405" s="98"/>
      <c r="N405" s="98"/>
      <c r="O405" s="98"/>
      <c r="P405" s="98"/>
    </row>
    <row r="406" ht="15.75" customHeight="1">
      <c r="C406" s="98"/>
      <c r="M406" s="98"/>
      <c r="N406" s="98"/>
      <c r="O406" s="98"/>
      <c r="P406" s="98"/>
    </row>
    <row r="407" ht="15.75" customHeight="1">
      <c r="C407" s="98"/>
      <c r="M407" s="98"/>
      <c r="N407" s="98"/>
      <c r="O407" s="98"/>
      <c r="P407" s="98"/>
    </row>
    <row r="408" ht="15.75" customHeight="1">
      <c r="C408" s="98"/>
      <c r="M408" s="98"/>
      <c r="N408" s="98"/>
      <c r="O408" s="98"/>
      <c r="P408" s="98"/>
    </row>
    <row r="409" ht="15.75" customHeight="1">
      <c r="C409" s="98"/>
      <c r="M409" s="98"/>
      <c r="N409" s="98"/>
      <c r="O409" s="98"/>
      <c r="P409" s="98"/>
    </row>
    <row r="410" ht="15.75" customHeight="1">
      <c r="C410" s="98"/>
      <c r="M410" s="98"/>
      <c r="N410" s="98"/>
      <c r="O410" s="98"/>
      <c r="P410" s="98"/>
    </row>
    <row r="411" ht="15.75" customHeight="1">
      <c r="C411" s="98"/>
      <c r="M411" s="98"/>
      <c r="N411" s="98"/>
      <c r="O411" s="98"/>
      <c r="P411" s="98"/>
    </row>
    <row r="412" ht="15.75" customHeight="1">
      <c r="C412" s="98"/>
      <c r="M412" s="98"/>
      <c r="N412" s="98"/>
      <c r="O412" s="98"/>
      <c r="P412" s="98"/>
    </row>
    <row r="413" ht="15.75" customHeight="1">
      <c r="C413" s="98"/>
      <c r="M413" s="98"/>
      <c r="N413" s="98"/>
      <c r="O413" s="98"/>
      <c r="P413" s="98"/>
    </row>
    <row r="414" ht="15.75" customHeight="1">
      <c r="C414" s="98"/>
      <c r="M414" s="98"/>
      <c r="N414" s="98"/>
      <c r="O414" s="98"/>
      <c r="P414" s="98"/>
    </row>
    <row r="415" ht="15.75" customHeight="1">
      <c r="C415" s="98"/>
      <c r="M415" s="98"/>
      <c r="N415" s="98"/>
      <c r="O415" s="98"/>
      <c r="P415" s="98"/>
    </row>
    <row r="416" ht="15.75" customHeight="1">
      <c r="C416" s="98"/>
      <c r="M416" s="98"/>
      <c r="N416" s="98"/>
      <c r="O416" s="98"/>
      <c r="P416" s="98"/>
    </row>
    <row r="417" ht="15.75" customHeight="1">
      <c r="C417" s="98"/>
      <c r="M417" s="98"/>
      <c r="N417" s="98"/>
      <c r="O417" s="98"/>
      <c r="P417" s="98"/>
    </row>
    <row r="418" ht="15.75" customHeight="1">
      <c r="C418" s="98"/>
      <c r="M418" s="98"/>
      <c r="N418" s="98"/>
      <c r="O418" s="98"/>
      <c r="P418" s="98"/>
    </row>
    <row r="419" ht="15.75" customHeight="1">
      <c r="C419" s="98"/>
      <c r="M419" s="98"/>
      <c r="N419" s="98"/>
      <c r="O419" s="98"/>
      <c r="P419" s="98"/>
    </row>
    <row r="420" ht="15.75" customHeight="1">
      <c r="C420" s="98"/>
      <c r="M420" s="98"/>
      <c r="N420" s="98"/>
      <c r="O420" s="98"/>
      <c r="P420" s="98"/>
    </row>
    <row r="421" ht="15.75" customHeight="1">
      <c r="C421" s="98"/>
      <c r="M421" s="98"/>
      <c r="N421" s="98"/>
      <c r="O421" s="98"/>
      <c r="P421" s="98"/>
    </row>
    <row r="422" ht="15.75" customHeight="1">
      <c r="C422" s="98"/>
      <c r="M422" s="98"/>
      <c r="N422" s="98"/>
      <c r="O422" s="98"/>
      <c r="P422" s="98"/>
    </row>
    <row r="423" ht="15.75" customHeight="1">
      <c r="C423" s="98"/>
      <c r="M423" s="98"/>
      <c r="N423" s="98"/>
      <c r="O423" s="98"/>
      <c r="P423" s="98"/>
    </row>
    <row r="424" ht="15.75" customHeight="1">
      <c r="C424" s="98"/>
      <c r="M424" s="98"/>
      <c r="N424" s="98"/>
      <c r="O424" s="98"/>
      <c r="P424" s="98"/>
    </row>
    <row r="425" ht="15.75" customHeight="1">
      <c r="C425" s="98"/>
      <c r="M425" s="98"/>
      <c r="N425" s="98"/>
      <c r="O425" s="98"/>
      <c r="P425" s="98"/>
    </row>
    <row r="426" ht="15.75" customHeight="1">
      <c r="C426" s="98"/>
      <c r="M426" s="98"/>
      <c r="N426" s="98"/>
      <c r="O426" s="98"/>
      <c r="P426" s="98"/>
    </row>
    <row r="427" ht="15.75" customHeight="1">
      <c r="C427" s="98"/>
      <c r="M427" s="98"/>
      <c r="N427" s="98"/>
      <c r="O427" s="98"/>
      <c r="P427" s="98"/>
    </row>
    <row r="428" ht="15.75" customHeight="1">
      <c r="C428" s="98"/>
      <c r="M428" s="98"/>
      <c r="N428" s="98"/>
      <c r="O428" s="98"/>
      <c r="P428" s="98"/>
    </row>
    <row r="429" ht="15.75" customHeight="1">
      <c r="C429" s="98"/>
      <c r="M429" s="98"/>
      <c r="N429" s="98"/>
      <c r="O429" s="98"/>
      <c r="P429" s="98"/>
    </row>
    <row r="430" ht="15.75" customHeight="1">
      <c r="C430" s="98"/>
      <c r="M430" s="98"/>
      <c r="N430" s="98"/>
      <c r="O430" s="98"/>
      <c r="P430" s="98"/>
    </row>
    <row r="431" ht="15.75" customHeight="1">
      <c r="C431" s="98"/>
      <c r="M431" s="98"/>
      <c r="N431" s="98"/>
      <c r="O431" s="98"/>
      <c r="P431" s="98"/>
    </row>
    <row r="432" ht="15.75" customHeight="1">
      <c r="C432" s="98"/>
      <c r="M432" s="98"/>
      <c r="N432" s="98"/>
      <c r="O432" s="98"/>
      <c r="P432" s="98"/>
    </row>
    <row r="433" ht="15.75" customHeight="1">
      <c r="C433" s="98"/>
      <c r="M433" s="98"/>
      <c r="N433" s="98"/>
      <c r="O433" s="98"/>
      <c r="P433" s="98"/>
    </row>
    <row r="434" ht="15.75" customHeight="1">
      <c r="C434" s="98"/>
      <c r="M434" s="98"/>
      <c r="N434" s="98"/>
      <c r="O434" s="98"/>
      <c r="P434" s="98"/>
    </row>
    <row r="435" ht="15.75" customHeight="1">
      <c r="C435" s="98"/>
      <c r="M435" s="98"/>
      <c r="N435" s="98"/>
      <c r="O435" s="98"/>
      <c r="P435" s="98"/>
    </row>
    <row r="436" ht="15.75" customHeight="1">
      <c r="C436" s="98"/>
      <c r="M436" s="98"/>
      <c r="N436" s="98"/>
      <c r="O436" s="98"/>
      <c r="P436" s="98"/>
    </row>
    <row r="437" ht="15.75" customHeight="1">
      <c r="C437" s="98"/>
      <c r="M437" s="98"/>
      <c r="N437" s="98"/>
      <c r="O437" s="98"/>
      <c r="P437" s="98"/>
    </row>
    <row r="438" ht="15.75" customHeight="1">
      <c r="C438" s="98"/>
      <c r="M438" s="98"/>
      <c r="N438" s="98"/>
      <c r="O438" s="98"/>
      <c r="P438" s="98"/>
    </row>
    <row r="439" ht="15.75" customHeight="1">
      <c r="C439" s="98"/>
      <c r="M439" s="98"/>
      <c r="N439" s="98"/>
      <c r="O439" s="98"/>
      <c r="P439" s="98"/>
    </row>
    <row r="440" ht="15.75" customHeight="1">
      <c r="C440" s="98"/>
      <c r="M440" s="98"/>
      <c r="N440" s="98"/>
      <c r="O440" s="98"/>
      <c r="P440" s="98"/>
    </row>
    <row r="441" ht="15.75" customHeight="1">
      <c r="C441" s="98"/>
      <c r="M441" s="98"/>
      <c r="N441" s="98"/>
      <c r="O441" s="98"/>
      <c r="P441" s="98"/>
    </row>
    <row r="442" ht="15.75" customHeight="1">
      <c r="C442" s="98"/>
      <c r="M442" s="98"/>
      <c r="N442" s="98"/>
      <c r="O442" s="98"/>
      <c r="P442" s="98"/>
    </row>
    <row r="443" ht="15.75" customHeight="1">
      <c r="C443" s="98"/>
      <c r="M443" s="98"/>
      <c r="N443" s="98"/>
      <c r="O443" s="98"/>
      <c r="P443" s="98"/>
    </row>
    <row r="444" ht="15.75" customHeight="1">
      <c r="C444" s="98"/>
      <c r="M444" s="98"/>
      <c r="N444" s="98"/>
      <c r="O444" s="98"/>
      <c r="P444" s="98"/>
    </row>
    <row r="445" ht="15.75" customHeight="1">
      <c r="C445" s="98"/>
      <c r="M445" s="98"/>
      <c r="N445" s="98"/>
      <c r="O445" s="98"/>
      <c r="P445" s="98"/>
    </row>
    <row r="446" ht="15.75" customHeight="1">
      <c r="C446" s="98"/>
      <c r="M446" s="98"/>
      <c r="N446" s="98"/>
      <c r="O446" s="98"/>
      <c r="P446" s="98"/>
    </row>
    <row r="447" ht="15.75" customHeight="1">
      <c r="C447" s="98"/>
      <c r="M447" s="98"/>
      <c r="N447" s="98"/>
      <c r="O447" s="98"/>
      <c r="P447" s="98"/>
    </row>
    <row r="448" ht="15.75" customHeight="1">
      <c r="C448" s="98"/>
      <c r="M448" s="98"/>
      <c r="N448" s="98"/>
      <c r="O448" s="98"/>
      <c r="P448" s="98"/>
    </row>
    <row r="449" ht="15.75" customHeight="1">
      <c r="C449" s="98"/>
      <c r="M449" s="98"/>
      <c r="N449" s="98"/>
      <c r="O449" s="98"/>
      <c r="P449" s="98"/>
    </row>
    <row r="450" ht="15.75" customHeight="1">
      <c r="C450" s="98"/>
      <c r="M450" s="98"/>
      <c r="N450" s="98"/>
      <c r="O450" s="98"/>
      <c r="P450" s="98"/>
    </row>
    <row r="451" ht="15.75" customHeight="1">
      <c r="C451" s="98"/>
      <c r="M451" s="98"/>
      <c r="N451" s="98"/>
      <c r="O451" s="98"/>
      <c r="P451" s="98"/>
    </row>
    <row r="452" ht="15.75" customHeight="1">
      <c r="C452" s="98"/>
      <c r="M452" s="98"/>
      <c r="N452" s="98"/>
      <c r="O452" s="98"/>
      <c r="P452" s="98"/>
    </row>
    <row r="453" ht="15.75" customHeight="1">
      <c r="C453" s="98"/>
      <c r="M453" s="98"/>
      <c r="N453" s="98"/>
      <c r="O453" s="98"/>
      <c r="P453" s="98"/>
    </row>
    <row r="454" ht="15.75" customHeight="1">
      <c r="C454" s="98"/>
      <c r="M454" s="98"/>
      <c r="N454" s="98"/>
      <c r="O454" s="98"/>
      <c r="P454" s="98"/>
    </row>
    <row r="455" ht="15.75" customHeight="1">
      <c r="C455" s="98"/>
      <c r="M455" s="98"/>
      <c r="N455" s="98"/>
      <c r="O455" s="98"/>
      <c r="P455" s="98"/>
    </row>
    <row r="456" ht="15.75" customHeight="1">
      <c r="C456" s="98"/>
      <c r="M456" s="98"/>
      <c r="N456" s="98"/>
      <c r="O456" s="98"/>
      <c r="P456" s="98"/>
    </row>
    <row r="457" ht="15.75" customHeight="1">
      <c r="C457" s="98"/>
      <c r="M457" s="98"/>
      <c r="N457" s="98"/>
      <c r="O457" s="98"/>
      <c r="P457" s="98"/>
    </row>
    <row r="458" ht="15.75" customHeight="1">
      <c r="C458" s="98"/>
      <c r="M458" s="98"/>
      <c r="N458" s="98"/>
      <c r="O458" s="98"/>
      <c r="P458" s="98"/>
    </row>
    <row r="459" ht="15.75" customHeight="1">
      <c r="C459" s="98"/>
      <c r="M459" s="98"/>
      <c r="N459" s="98"/>
      <c r="O459" s="98"/>
      <c r="P459" s="98"/>
    </row>
    <row r="460" ht="15.75" customHeight="1">
      <c r="C460" s="98"/>
      <c r="M460" s="98"/>
      <c r="N460" s="98"/>
      <c r="O460" s="98"/>
      <c r="P460" s="98"/>
    </row>
    <row r="461" ht="15.75" customHeight="1">
      <c r="C461" s="98"/>
      <c r="M461" s="98"/>
      <c r="N461" s="98"/>
      <c r="O461" s="98"/>
      <c r="P461" s="98"/>
    </row>
    <row r="462" ht="15.75" customHeight="1">
      <c r="C462" s="98"/>
      <c r="M462" s="98"/>
      <c r="N462" s="98"/>
      <c r="O462" s="98"/>
      <c r="P462" s="98"/>
    </row>
    <row r="463" ht="15.75" customHeight="1">
      <c r="C463" s="98"/>
      <c r="M463" s="98"/>
      <c r="N463" s="98"/>
      <c r="O463" s="98"/>
      <c r="P463" s="98"/>
    </row>
    <row r="464" ht="15.75" customHeight="1">
      <c r="C464" s="98"/>
      <c r="M464" s="98"/>
      <c r="N464" s="98"/>
      <c r="O464" s="98"/>
      <c r="P464" s="98"/>
    </row>
    <row r="465" ht="15.75" customHeight="1">
      <c r="C465" s="98"/>
      <c r="M465" s="98"/>
      <c r="N465" s="98"/>
      <c r="O465" s="98"/>
      <c r="P465" s="98"/>
    </row>
    <row r="466" ht="15.75" customHeight="1">
      <c r="C466" s="98"/>
      <c r="M466" s="98"/>
      <c r="N466" s="98"/>
      <c r="O466" s="98"/>
      <c r="P466" s="98"/>
    </row>
    <row r="467" ht="15.75" customHeight="1">
      <c r="C467" s="98"/>
      <c r="M467" s="98"/>
      <c r="N467" s="98"/>
      <c r="O467" s="98"/>
      <c r="P467" s="98"/>
    </row>
    <row r="468" ht="15.75" customHeight="1">
      <c r="C468" s="98"/>
      <c r="M468" s="98"/>
      <c r="N468" s="98"/>
      <c r="O468" s="98"/>
      <c r="P468" s="98"/>
    </row>
    <row r="469" ht="15.75" customHeight="1">
      <c r="C469" s="98"/>
      <c r="M469" s="98"/>
      <c r="N469" s="98"/>
      <c r="O469" s="98"/>
      <c r="P469" s="98"/>
    </row>
    <row r="470" ht="15.75" customHeight="1">
      <c r="C470" s="98"/>
      <c r="M470" s="98"/>
      <c r="N470" s="98"/>
      <c r="O470" s="98"/>
      <c r="P470" s="98"/>
    </row>
    <row r="471" ht="15.75" customHeight="1">
      <c r="C471" s="98"/>
      <c r="M471" s="98"/>
      <c r="N471" s="98"/>
      <c r="O471" s="98"/>
      <c r="P471" s="98"/>
    </row>
    <row r="472" ht="15.75" customHeight="1">
      <c r="C472" s="98"/>
      <c r="M472" s="98"/>
      <c r="N472" s="98"/>
      <c r="O472" s="98"/>
      <c r="P472" s="98"/>
    </row>
    <row r="473" ht="15.75" customHeight="1">
      <c r="C473" s="98"/>
      <c r="M473" s="98"/>
      <c r="N473" s="98"/>
      <c r="O473" s="98"/>
      <c r="P473" s="98"/>
    </row>
    <row r="474" ht="15.75" customHeight="1">
      <c r="C474" s="98"/>
      <c r="M474" s="98"/>
      <c r="N474" s="98"/>
      <c r="O474" s="98"/>
      <c r="P474" s="98"/>
    </row>
    <row r="475" ht="15.75" customHeight="1">
      <c r="C475" s="98"/>
      <c r="M475" s="98"/>
      <c r="N475" s="98"/>
      <c r="O475" s="98"/>
      <c r="P475" s="98"/>
    </row>
    <row r="476" ht="15.75" customHeight="1">
      <c r="C476" s="98"/>
      <c r="M476" s="98"/>
      <c r="N476" s="98"/>
      <c r="O476" s="98"/>
      <c r="P476" s="98"/>
    </row>
    <row r="477" ht="15.75" customHeight="1">
      <c r="C477" s="98"/>
      <c r="M477" s="98"/>
      <c r="N477" s="98"/>
      <c r="O477" s="98"/>
      <c r="P477" s="98"/>
    </row>
    <row r="478" ht="15.75" customHeight="1">
      <c r="C478" s="98"/>
      <c r="M478" s="98"/>
      <c r="N478" s="98"/>
      <c r="O478" s="98"/>
      <c r="P478" s="98"/>
    </row>
    <row r="479" ht="15.75" customHeight="1">
      <c r="C479" s="98"/>
      <c r="M479" s="98"/>
      <c r="N479" s="98"/>
      <c r="O479" s="98"/>
      <c r="P479" s="98"/>
    </row>
    <row r="480" ht="15.75" customHeight="1">
      <c r="C480" s="98"/>
      <c r="M480" s="98"/>
      <c r="N480" s="98"/>
      <c r="O480" s="98"/>
      <c r="P480" s="98"/>
    </row>
    <row r="481" ht="15.75" customHeight="1">
      <c r="C481" s="98"/>
      <c r="M481" s="98"/>
      <c r="N481" s="98"/>
      <c r="O481" s="98"/>
      <c r="P481" s="98"/>
    </row>
    <row r="482" ht="15.75" customHeight="1">
      <c r="C482" s="98"/>
      <c r="M482" s="98"/>
      <c r="N482" s="98"/>
      <c r="O482" s="98"/>
      <c r="P482" s="98"/>
    </row>
    <row r="483" ht="15.75" customHeight="1">
      <c r="C483" s="98"/>
      <c r="M483" s="98"/>
      <c r="N483" s="98"/>
      <c r="O483" s="98"/>
      <c r="P483" s="98"/>
    </row>
    <row r="484" ht="15.75" customHeight="1">
      <c r="C484" s="98"/>
      <c r="M484" s="98"/>
      <c r="N484" s="98"/>
      <c r="O484" s="98"/>
      <c r="P484" s="98"/>
    </row>
    <row r="485" ht="15.75" customHeight="1">
      <c r="C485" s="98"/>
      <c r="M485" s="98"/>
      <c r="N485" s="98"/>
      <c r="O485" s="98"/>
      <c r="P485" s="98"/>
    </row>
    <row r="486" ht="15.75" customHeight="1">
      <c r="C486" s="98"/>
      <c r="M486" s="98"/>
      <c r="N486" s="98"/>
      <c r="O486" s="98"/>
      <c r="P486" s="98"/>
    </row>
    <row r="487" ht="15.75" customHeight="1">
      <c r="C487" s="98"/>
      <c r="M487" s="98"/>
      <c r="N487" s="98"/>
      <c r="O487" s="98"/>
      <c r="P487" s="98"/>
    </row>
    <row r="488" ht="15.75" customHeight="1">
      <c r="C488" s="98"/>
      <c r="M488" s="98"/>
      <c r="N488" s="98"/>
      <c r="O488" s="98"/>
      <c r="P488" s="98"/>
    </row>
    <row r="489" ht="15.75" customHeight="1">
      <c r="C489" s="98"/>
      <c r="M489" s="98"/>
      <c r="N489" s="98"/>
      <c r="O489" s="98"/>
      <c r="P489" s="98"/>
    </row>
    <row r="490" ht="15.75" customHeight="1">
      <c r="C490" s="98"/>
      <c r="M490" s="98"/>
      <c r="N490" s="98"/>
      <c r="O490" s="98"/>
      <c r="P490" s="98"/>
    </row>
    <row r="491" ht="15.75" customHeight="1">
      <c r="C491" s="98"/>
      <c r="M491" s="98"/>
      <c r="N491" s="98"/>
      <c r="O491" s="98"/>
      <c r="P491" s="98"/>
    </row>
    <row r="492" ht="15.75" customHeight="1">
      <c r="C492" s="98"/>
      <c r="M492" s="98"/>
      <c r="N492" s="98"/>
      <c r="O492" s="98"/>
      <c r="P492" s="98"/>
    </row>
    <row r="493" ht="15.75" customHeight="1">
      <c r="C493" s="98"/>
      <c r="M493" s="98"/>
      <c r="N493" s="98"/>
      <c r="O493" s="98"/>
      <c r="P493" s="98"/>
    </row>
    <row r="494" ht="15.75" customHeight="1">
      <c r="C494" s="98"/>
      <c r="M494" s="98"/>
      <c r="N494" s="98"/>
      <c r="O494" s="98"/>
      <c r="P494" s="98"/>
    </row>
    <row r="495" ht="15.75" customHeight="1">
      <c r="C495" s="98"/>
      <c r="M495" s="98"/>
      <c r="N495" s="98"/>
      <c r="O495" s="98"/>
      <c r="P495" s="98"/>
    </row>
    <row r="496" ht="15.75" customHeight="1">
      <c r="C496" s="98"/>
      <c r="M496" s="98"/>
      <c r="N496" s="98"/>
      <c r="O496" s="98"/>
      <c r="P496" s="98"/>
    </row>
    <row r="497" ht="15.75" customHeight="1">
      <c r="C497" s="98"/>
      <c r="M497" s="98"/>
      <c r="N497" s="98"/>
      <c r="O497" s="98"/>
      <c r="P497" s="98"/>
    </row>
    <row r="498" ht="15.75" customHeight="1">
      <c r="C498" s="98"/>
      <c r="M498" s="98"/>
      <c r="N498" s="98"/>
      <c r="O498" s="98"/>
      <c r="P498" s="98"/>
    </row>
    <row r="499" ht="15.75" customHeight="1">
      <c r="C499" s="98"/>
      <c r="M499" s="98"/>
      <c r="N499" s="98"/>
      <c r="O499" s="98"/>
      <c r="P499" s="98"/>
    </row>
    <row r="500" ht="15.75" customHeight="1">
      <c r="C500" s="98"/>
      <c r="M500" s="98"/>
      <c r="N500" s="98"/>
      <c r="O500" s="98"/>
      <c r="P500" s="98"/>
    </row>
    <row r="501" ht="15.75" customHeight="1">
      <c r="C501" s="98"/>
      <c r="M501" s="98"/>
      <c r="N501" s="98"/>
      <c r="O501" s="98"/>
      <c r="P501" s="98"/>
    </row>
    <row r="502" ht="15.75" customHeight="1">
      <c r="C502" s="98"/>
      <c r="M502" s="98"/>
      <c r="N502" s="98"/>
      <c r="O502" s="98"/>
      <c r="P502" s="98"/>
    </row>
    <row r="503" ht="15.75" customHeight="1">
      <c r="C503" s="98"/>
      <c r="M503" s="98"/>
      <c r="N503" s="98"/>
      <c r="O503" s="98"/>
      <c r="P503" s="98"/>
    </row>
    <row r="504" ht="15.75" customHeight="1">
      <c r="C504" s="98"/>
      <c r="M504" s="98"/>
      <c r="N504" s="98"/>
      <c r="O504" s="98"/>
      <c r="P504" s="98"/>
    </row>
    <row r="505" ht="15.75" customHeight="1">
      <c r="C505" s="98"/>
      <c r="M505" s="98"/>
      <c r="N505" s="98"/>
      <c r="O505" s="98"/>
      <c r="P505" s="98"/>
    </row>
    <row r="506" ht="15.75" customHeight="1">
      <c r="C506" s="98"/>
      <c r="M506" s="98"/>
      <c r="N506" s="98"/>
      <c r="O506" s="98"/>
      <c r="P506" s="98"/>
    </row>
    <row r="507" ht="15.75" customHeight="1">
      <c r="C507" s="98"/>
      <c r="M507" s="98"/>
      <c r="N507" s="98"/>
      <c r="O507" s="98"/>
      <c r="P507" s="98"/>
    </row>
    <row r="508" ht="15.75" customHeight="1">
      <c r="C508" s="98"/>
      <c r="M508" s="98"/>
      <c r="N508" s="98"/>
      <c r="O508" s="98"/>
      <c r="P508" s="98"/>
    </row>
    <row r="509" ht="15.75" customHeight="1">
      <c r="C509" s="98"/>
      <c r="M509" s="98"/>
      <c r="N509" s="98"/>
      <c r="O509" s="98"/>
      <c r="P509" s="98"/>
    </row>
    <row r="510" ht="15.75" customHeight="1">
      <c r="C510" s="98"/>
      <c r="M510" s="98"/>
      <c r="N510" s="98"/>
      <c r="O510" s="98"/>
      <c r="P510" s="98"/>
    </row>
    <row r="511" ht="15.75" customHeight="1">
      <c r="C511" s="98"/>
      <c r="M511" s="98"/>
      <c r="N511" s="98"/>
      <c r="O511" s="98"/>
      <c r="P511" s="98"/>
    </row>
    <row r="512" ht="15.75" customHeight="1">
      <c r="C512" s="98"/>
      <c r="M512" s="98"/>
      <c r="N512" s="98"/>
      <c r="O512" s="98"/>
      <c r="P512" s="98"/>
    </row>
    <row r="513" ht="15.75" customHeight="1">
      <c r="C513" s="98"/>
      <c r="M513" s="98"/>
      <c r="N513" s="98"/>
      <c r="O513" s="98"/>
      <c r="P513" s="98"/>
    </row>
    <row r="514" ht="15.75" customHeight="1">
      <c r="C514" s="98"/>
      <c r="M514" s="98"/>
      <c r="N514" s="98"/>
      <c r="O514" s="98"/>
      <c r="P514" s="98"/>
    </row>
    <row r="515" ht="15.75" customHeight="1">
      <c r="C515" s="98"/>
      <c r="M515" s="98"/>
      <c r="N515" s="98"/>
      <c r="O515" s="98"/>
      <c r="P515" s="98"/>
    </row>
    <row r="516" ht="15.75" customHeight="1">
      <c r="C516" s="98"/>
      <c r="M516" s="98"/>
      <c r="N516" s="98"/>
      <c r="O516" s="98"/>
      <c r="P516" s="98"/>
    </row>
    <row r="517" ht="15.75" customHeight="1">
      <c r="C517" s="98"/>
      <c r="M517" s="98"/>
      <c r="N517" s="98"/>
      <c r="O517" s="98"/>
      <c r="P517" s="98"/>
    </row>
    <row r="518" ht="15.75" customHeight="1">
      <c r="C518" s="98"/>
      <c r="M518" s="98"/>
      <c r="N518" s="98"/>
      <c r="O518" s="98"/>
      <c r="P518" s="98"/>
    </row>
    <row r="519" ht="15.75" customHeight="1">
      <c r="C519" s="98"/>
      <c r="M519" s="98"/>
      <c r="N519" s="98"/>
      <c r="O519" s="98"/>
      <c r="P519" s="98"/>
    </row>
    <row r="520" ht="15.75" customHeight="1">
      <c r="C520" s="98"/>
      <c r="M520" s="98"/>
      <c r="N520" s="98"/>
      <c r="O520" s="98"/>
      <c r="P520" s="98"/>
    </row>
    <row r="521" ht="15.75" customHeight="1">
      <c r="C521" s="98"/>
      <c r="M521" s="98"/>
      <c r="N521" s="98"/>
      <c r="O521" s="98"/>
      <c r="P521" s="98"/>
    </row>
    <row r="522" ht="15.75" customHeight="1">
      <c r="C522" s="98"/>
      <c r="M522" s="98"/>
      <c r="N522" s="98"/>
      <c r="O522" s="98"/>
      <c r="P522" s="98"/>
    </row>
    <row r="523" ht="15.75" customHeight="1">
      <c r="C523" s="98"/>
      <c r="M523" s="98"/>
      <c r="N523" s="98"/>
      <c r="O523" s="98"/>
      <c r="P523" s="98"/>
    </row>
    <row r="524" ht="15.75" customHeight="1">
      <c r="C524" s="98"/>
      <c r="M524" s="98"/>
      <c r="N524" s="98"/>
      <c r="O524" s="98"/>
      <c r="P524" s="98"/>
    </row>
    <row r="525" ht="15.75" customHeight="1">
      <c r="C525" s="98"/>
      <c r="M525" s="98"/>
      <c r="N525" s="98"/>
      <c r="O525" s="98"/>
      <c r="P525" s="98"/>
    </row>
    <row r="526" ht="15.75" customHeight="1">
      <c r="C526" s="98"/>
      <c r="M526" s="98"/>
      <c r="N526" s="98"/>
      <c r="O526" s="98"/>
      <c r="P526" s="98"/>
    </row>
    <row r="527" ht="15.75" customHeight="1">
      <c r="C527" s="98"/>
      <c r="M527" s="98"/>
      <c r="N527" s="98"/>
      <c r="O527" s="98"/>
      <c r="P527" s="98"/>
    </row>
    <row r="528" ht="15.75" customHeight="1">
      <c r="C528" s="98"/>
      <c r="M528" s="98"/>
      <c r="N528" s="98"/>
      <c r="O528" s="98"/>
      <c r="P528" s="98"/>
    </row>
    <row r="529" ht="15.75" customHeight="1">
      <c r="C529" s="98"/>
      <c r="M529" s="98"/>
      <c r="N529" s="98"/>
      <c r="O529" s="98"/>
      <c r="P529" s="98"/>
    </row>
    <row r="530" ht="15.75" customHeight="1">
      <c r="C530" s="98"/>
      <c r="M530" s="98"/>
      <c r="N530" s="98"/>
      <c r="O530" s="98"/>
      <c r="P530" s="98"/>
    </row>
    <row r="531" ht="15.75" customHeight="1">
      <c r="C531" s="98"/>
      <c r="M531" s="98"/>
      <c r="N531" s="98"/>
      <c r="O531" s="98"/>
      <c r="P531" s="98"/>
    </row>
    <row r="532" ht="15.75" customHeight="1">
      <c r="C532" s="98"/>
      <c r="M532" s="98"/>
      <c r="N532" s="98"/>
      <c r="O532" s="98"/>
      <c r="P532" s="98"/>
    </row>
    <row r="533" ht="15.75" customHeight="1">
      <c r="C533" s="98"/>
      <c r="M533" s="98"/>
      <c r="N533" s="98"/>
      <c r="O533" s="98"/>
      <c r="P533" s="98"/>
    </row>
    <row r="534" ht="15.75" customHeight="1">
      <c r="C534" s="98"/>
      <c r="M534" s="98"/>
      <c r="N534" s="98"/>
      <c r="O534" s="98"/>
      <c r="P534" s="98"/>
    </row>
    <row r="535" ht="15.75" customHeight="1">
      <c r="C535" s="98"/>
      <c r="M535" s="98"/>
      <c r="N535" s="98"/>
      <c r="O535" s="98"/>
      <c r="P535" s="98"/>
    </row>
    <row r="536" ht="15.75" customHeight="1">
      <c r="C536" s="98"/>
      <c r="M536" s="98"/>
      <c r="N536" s="98"/>
      <c r="O536" s="98"/>
      <c r="P536" s="98"/>
    </row>
    <row r="537" ht="15.75" customHeight="1">
      <c r="C537" s="98"/>
      <c r="M537" s="98"/>
      <c r="N537" s="98"/>
      <c r="O537" s="98"/>
      <c r="P537" s="98"/>
    </row>
    <row r="538" ht="15.75" customHeight="1">
      <c r="C538" s="98"/>
      <c r="M538" s="98"/>
      <c r="N538" s="98"/>
      <c r="O538" s="98"/>
      <c r="P538" s="98"/>
    </row>
    <row r="539" ht="15.75" customHeight="1">
      <c r="C539" s="98"/>
      <c r="M539" s="98"/>
      <c r="N539" s="98"/>
      <c r="O539" s="98"/>
      <c r="P539" s="98"/>
    </row>
    <row r="540" ht="15.75" customHeight="1">
      <c r="C540" s="98"/>
      <c r="M540" s="98"/>
      <c r="N540" s="98"/>
      <c r="O540" s="98"/>
      <c r="P540" s="98"/>
    </row>
    <row r="541" ht="15.75" customHeight="1">
      <c r="C541" s="98"/>
      <c r="M541" s="98"/>
      <c r="N541" s="98"/>
      <c r="O541" s="98"/>
      <c r="P541" s="98"/>
    </row>
    <row r="542" ht="15.75" customHeight="1">
      <c r="C542" s="98"/>
      <c r="M542" s="98"/>
      <c r="N542" s="98"/>
      <c r="O542" s="98"/>
      <c r="P542" s="98"/>
    </row>
    <row r="543" ht="15.75" customHeight="1">
      <c r="C543" s="98"/>
      <c r="M543" s="98"/>
      <c r="N543" s="98"/>
      <c r="O543" s="98"/>
      <c r="P543" s="98"/>
    </row>
    <row r="544" ht="15.75" customHeight="1">
      <c r="C544" s="98"/>
      <c r="M544" s="98"/>
      <c r="N544" s="98"/>
      <c r="O544" s="98"/>
      <c r="P544" s="98"/>
    </row>
    <row r="545" ht="15.75" customHeight="1">
      <c r="C545" s="98"/>
      <c r="M545" s="98"/>
      <c r="N545" s="98"/>
      <c r="O545" s="98"/>
      <c r="P545" s="98"/>
    </row>
    <row r="546" ht="15.75" customHeight="1">
      <c r="C546" s="98"/>
      <c r="M546" s="98"/>
      <c r="N546" s="98"/>
      <c r="O546" s="98"/>
      <c r="P546" s="98"/>
    </row>
    <row r="547" ht="15.75" customHeight="1">
      <c r="C547" s="98"/>
      <c r="M547" s="98"/>
      <c r="N547" s="98"/>
      <c r="O547" s="98"/>
      <c r="P547" s="98"/>
    </row>
    <row r="548" ht="15.75" customHeight="1">
      <c r="C548" s="98"/>
      <c r="M548" s="98"/>
      <c r="N548" s="98"/>
      <c r="O548" s="98"/>
      <c r="P548" s="98"/>
    </row>
    <row r="549" ht="15.75" customHeight="1">
      <c r="C549" s="98"/>
      <c r="M549" s="98"/>
      <c r="N549" s="98"/>
      <c r="O549" s="98"/>
      <c r="P549" s="98"/>
    </row>
    <row r="550" ht="15.75" customHeight="1">
      <c r="C550" s="98"/>
      <c r="M550" s="98"/>
      <c r="N550" s="98"/>
      <c r="O550" s="98"/>
      <c r="P550" s="98"/>
    </row>
    <row r="551" ht="15.75" customHeight="1">
      <c r="C551" s="98"/>
      <c r="M551" s="98"/>
      <c r="N551" s="98"/>
      <c r="O551" s="98"/>
      <c r="P551" s="98"/>
    </row>
    <row r="552" ht="15.75" customHeight="1">
      <c r="C552" s="98"/>
      <c r="M552" s="98"/>
      <c r="N552" s="98"/>
      <c r="O552" s="98"/>
      <c r="P552" s="98"/>
    </row>
    <row r="553" ht="15.75" customHeight="1">
      <c r="C553" s="98"/>
      <c r="M553" s="98"/>
      <c r="N553" s="98"/>
      <c r="O553" s="98"/>
      <c r="P553" s="98"/>
    </row>
    <row r="554" ht="15.75" customHeight="1">
      <c r="C554" s="98"/>
      <c r="M554" s="98"/>
      <c r="N554" s="98"/>
      <c r="O554" s="98"/>
      <c r="P554" s="98"/>
    </row>
    <row r="555" ht="15.75" customHeight="1">
      <c r="C555" s="98"/>
      <c r="M555" s="98"/>
      <c r="N555" s="98"/>
      <c r="O555" s="98"/>
      <c r="P555" s="98"/>
    </row>
    <row r="556" ht="15.75" customHeight="1">
      <c r="C556" s="98"/>
      <c r="M556" s="98"/>
      <c r="N556" s="98"/>
      <c r="O556" s="98"/>
      <c r="P556" s="98"/>
    </row>
    <row r="557" ht="15.75" customHeight="1">
      <c r="C557" s="98"/>
      <c r="M557" s="98"/>
      <c r="N557" s="98"/>
      <c r="O557" s="98"/>
      <c r="P557" s="98"/>
    </row>
    <row r="558" ht="15.75" customHeight="1">
      <c r="C558" s="98"/>
      <c r="M558" s="98"/>
      <c r="N558" s="98"/>
      <c r="O558" s="98"/>
      <c r="P558" s="98"/>
    </row>
    <row r="559" ht="15.75" customHeight="1">
      <c r="C559" s="98"/>
      <c r="M559" s="98"/>
      <c r="N559" s="98"/>
      <c r="O559" s="98"/>
      <c r="P559" s="98"/>
    </row>
    <row r="560" ht="15.75" customHeight="1">
      <c r="C560" s="98"/>
      <c r="M560" s="98"/>
      <c r="N560" s="98"/>
      <c r="O560" s="98"/>
      <c r="P560" s="98"/>
    </row>
    <row r="561" ht="15.75" customHeight="1">
      <c r="C561" s="98"/>
      <c r="M561" s="98"/>
      <c r="N561" s="98"/>
      <c r="O561" s="98"/>
      <c r="P561" s="98"/>
    </row>
    <row r="562" ht="15.75" customHeight="1">
      <c r="C562" s="98"/>
      <c r="M562" s="98"/>
      <c r="N562" s="98"/>
      <c r="O562" s="98"/>
      <c r="P562" s="98"/>
    </row>
    <row r="563" ht="15.75" customHeight="1">
      <c r="C563" s="98"/>
      <c r="M563" s="98"/>
      <c r="N563" s="98"/>
      <c r="O563" s="98"/>
      <c r="P563" s="98"/>
    </row>
    <row r="564" ht="15.75" customHeight="1">
      <c r="C564" s="98"/>
      <c r="M564" s="98"/>
      <c r="N564" s="98"/>
      <c r="O564" s="98"/>
      <c r="P564" s="98"/>
    </row>
    <row r="565" ht="15.75" customHeight="1">
      <c r="C565" s="98"/>
      <c r="M565" s="98"/>
      <c r="N565" s="98"/>
      <c r="O565" s="98"/>
      <c r="P565" s="98"/>
    </row>
    <row r="566" ht="15.75" customHeight="1">
      <c r="C566" s="98"/>
      <c r="M566" s="98"/>
      <c r="N566" s="98"/>
      <c r="O566" s="98"/>
      <c r="P566" s="98"/>
    </row>
    <row r="567" ht="15.75" customHeight="1">
      <c r="C567" s="98"/>
      <c r="M567" s="98"/>
      <c r="N567" s="98"/>
      <c r="O567" s="98"/>
      <c r="P567" s="98"/>
    </row>
    <row r="568" ht="15.75" customHeight="1">
      <c r="C568" s="98"/>
      <c r="M568" s="98"/>
      <c r="N568" s="98"/>
      <c r="O568" s="98"/>
      <c r="P568" s="98"/>
    </row>
    <row r="569" ht="15.75" customHeight="1">
      <c r="C569" s="98"/>
      <c r="M569" s="98"/>
      <c r="N569" s="98"/>
      <c r="O569" s="98"/>
      <c r="P569" s="98"/>
    </row>
    <row r="570" ht="15.75" customHeight="1">
      <c r="C570" s="98"/>
      <c r="M570" s="98"/>
      <c r="N570" s="98"/>
      <c r="O570" s="98"/>
      <c r="P570" s="98"/>
    </row>
    <row r="571" ht="15.75" customHeight="1">
      <c r="C571" s="98"/>
      <c r="M571" s="98"/>
      <c r="N571" s="98"/>
      <c r="O571" s="98"/>
      <c r="P571" s="98"/>
    </row>
    <row r="572" ht="15.75" customHeight="1">
      <c r="C572" s="98"/>
      <c r="M572" s="98"/>
      <c r="N572" s="98"/>
      <c r="O572" s="98"/>
      <c r="P572" s="98"/>
    </row>
    <row r="573" ht="15.75" customHeight="1">
      <c r="C573" s="98"/>
      <c r="M573" s="98"/>
      <c r="N573" s="98"/>
      <c r="O573" s="98"/>
      <c r="P573" s="98"/>
    </row>
    <row r="574" ht="15.75" customHeight="1">
      <c r="C574" s="98"/>
      <c r="M574" s="98"/>
      <c r="N574" s="98"/>
      <c r="O574" s="98"/>
      <c r="P574" s="98"/>
    </row>
    <row r="575" ht="15.75" customHeight="1">
      <c r="C575" s="98"/>
      <c r="M575" s="98"/>
      <c r="N575" s="98"/>
      <c r="O575" s="98"/>
      <c r="P575" s="98"/>
    </row>
    <row r="576" ht="15.75" customHeight="1">
      <c r="C576" s="98"/>
      <c r="M576" s="98"/>
      <c r="N576" s="98"/>
      <c r="O576" s="98"/>
      <c r="P576" s="98"/>
    </row>
    <row r="577" ht="15.75" customHeight="1">
      <c r="C577" s="98"/>
      <c r="M577" s="98"/>
      <c r="N577" s="98"/>
      <c r="O577" s="98"/>
      <c r="P577" s="98"/>
    </row>
    <row r="578" ht="15.75" customHeight="1">
      <c r="C578" s="98"/>
      <c r="M578" s="98"/>
      <c r="N578" s="98"/>
      <c r="O578" s="98"/>
      <c r="P578" s="98"/>
    </row>
    <row r="579" ht="15.75" customHeight="1">
      <c r="C579" s="98"/>
      <c r="M579" s="98"/>
      <c r="N579" s="98"/>
      <c r="O579" s="98"/>
      <c r="P579" s="98"/>
    </row>
    <row r="580" ht="15.75" customHeight="1">
      <c r="C580" s="98"/>
      <c r="M580" s="98"/>
      <c r="N580" s="98"/>
      <c r="O580" s="98"/>
      <c r="P580" s="98"/>
    </row>
    <row r="581" ht="15.75" customHeight="1">
      <c r="C581" s="98"/>
      <c r="M581" s="98"/>
      <c r="N581" s="98"/>
      <c r="O581" s="98"/>
      <c r="P581" s="98"/>
    </row>
    <row r="582" ht="15.75" customHeight="1">
      <c r="C582" s="98"/>
      <c r="M582" s="98"/>
      <c r="N582" s="98"/>
      <c r="O582" s="98"/>
      <c r="P582" s="98"/>
    </row>
    <row r="583" ht="15.75" customHeight="1">
      <c r="C583" s="98"/>
      <c r="M583" s="98"/>
      <c r="N583" s="98"/>
      <c r="O583" s="98"/>
      <c r="P583" s="98"/>
    </row>
    <row r="584" ht="15.75" customHeight="1">
      <c r="C584" s="98"/>
      <c r="M584" s="98"/>
      <c r="N584" s="98"/>
      <c r="O584" s="98"/>
      <c r="P584" s="98"/>
    </row>
    <row r="585" ht="15.75" customHeight="1">
      <c r="C585" s="98"/>
      <c r="M585" s="98"/>
      <c r="N585" s="98"/>
      <c r="O585" s="98"/>
      <c r="P585" s="98"/>
    </row>
    <row r="586" ht="15.75" customHeight="1">
      <c r="C586" s="98"/>
      <c r="M586" s="98"/>
      <c r="N586" s="98"/>
      <c r="O586" s="98"/>
      <c r="P586" s="98"/>
    </row>
    <row r="587" ht="15.75" customHeight="1">
      <c r="C587" s="98"/>
      <c r="M587" s="98"/>
      <c r="N587" s="98"/>
      <c r="O587" s="98"/>
      <c r="P587" s="98"/>
    </row>
    <row r="588" ht="15.75" customHeight="1">
      <c r="C588" s="98"/>
      <c r="M588" s="98"/>
      <c r="N588" s="98"/>
      <c r="O588" s="98"/>
      <c r="P588" s="98"/>
    </row>
    <row r="589" ht="15.75" customHeight="1">
      <c r="C589" s="98"/>
      <c r="M589" s="98"/>
      <c r="N589" s="98"/>
      <c r="O589" s="98"/>
      <c r="P589" s="98"/>
    </row>
    <row r="590" ht="15.75" customHeight="1">
      <c r="C590" s="98"/>
      <c r="M590" s="98"/>
      <c r="N590" s="98"/>
      <c r="O590" s="98"/>
      <c r="P590" s="98"/>
    </row>
    <row r="591" ht="15.75" customHeight="1">
      <c r="C591" s="98"/>
      <c r="M591" s="98"/>
      <c r="N591" s="98"/>
      <c r="O591" s="98"/>
      <c r="P591" s="98"/>
    </row>
    <row r="592" ht="15.75" customHeight="1">
      <c r="C592" s="98"/>
      <c r="M592" s="98"/>
      <c r="N592" s="98"/>
      <c r="O592" s="98"/>
      <c r="P592" s="98"/>
    </row>
    <row r="593" ht="15.75" customHeight="1">
      <c r="C593" s="98"/>
      <c r="M593" s="98"/>
      <c r="N593" s="98"/>
      <c r="O593" s="98"/>
      <c r="P593" s="98"/>
    </row>
    <row r="594" ht="15.75" customHeight="1">
      <c r="C594" s="98"/>
      <c r="M594" s="98"/>
      <c r="N594" s="98"/>
      <c r="O594" s="98"/>
      <c r="P594" s="98"/>
    </row>
    <row r="595" ht="15.75" customHeight="1">
      <c r="C595" s="98"/>
      <c r="M595" s="98"/>
      <c r="N595" s="98"/>
      <c r="O595" s="98"/>
      <c r="P595" s="98"/>
    </row>
    <row r="596" ht="15.75" customHeight="1">
      <c r="C596" s="98"/>
      <c r="M596" s="98"/>
      <c r="N596" s="98"/>
      <c r="O596" s="98"/>
      <c r="P596" s="98"/>
    </row>
    <row r="597" ht="15.75" customHeight="1">
      <c r="C597" s="98"/>
      <c r="M597" s="98"/>
      <c r="N597" s="98"/>
      <c r="O597" s="98"/>
      <c r="P597" s="98"/>
    </row>
    <row r="598" ht="15.75" customHeight="1">
      <c r="C598" s="98"/>
      <c r="M598" s="98"/>
      <c r="N598" s="98"/>
      <c r="O598" s="98"/>
      <c r="P598" s="98"/>
    </row>
    <row r="599" ht="15.75" customHeight="1">
      <c r="C599" s="98"/>
      <c r="M599" s="98"/>
      <c r="N599" s="98"/>
      <c r="O599" s="98"/>
      <c r="P599" s="98"/>
    </row>
    <row r="600" ht="15.75" customHeight="1">
      <c r="C600" s="98"/>
      <c r="M600" s="98"/>
      <c r="N600" s="98"/>
      <c r="O600" s="98"/>
      <c r="P600" s="98"/>
    </row>
    <row r="601" ht="15.75" customHeight="1">
      <c r="C601" s="98"/>
      <c r="M601" s="98"/>
      <c r="N601" s="98"/>
      <c r="O601" s="98"/>
      <c r="P601" s="98"/>
    </row>
    <row r="602" ht="15.75" customHeight="1">
      <c r="C602" s="98"/>
      <c r="M602" s="98"/>
      <c r="N602" s="98"/>
      <c r="O602" s="98"/>
      <c r="P602" s="98"/>
    </row>
    <row r="603" ht="15.75" customHeight="1">
      <c r="C603" s="98"/>
      <c r="M603" s="98"/>
      <c r="N603" s="98"/>
      <c r="O603" s="98"/>
      <c r="P603" s="98"/>
    </row>
    <row r="604" ht="15.75" customHeight="1">
      <c r="C604" s="98"/>
      <c r="M604" s="98"/>
      <c r="N604" s="98"/>
      <c r="O604" s="98"/>
      <c r="P604" s="98"/>
    </row>
    <row r="605" ht="15.75" customHeight="1">
      <c r="C605" s="98"/>
      <c r="M605" s="98"/>
      <c r="N605" s="98"/>
      <c r="O605" s="98"/>
      <c r="P605" s="98"/>
    </row>
    <row r="606" ht="15.75" customHeight="1">
      <c r="C606" s="98"/>
      <c r="M606" s="98"/>
      <c r="N606" s="98"/>
      <c r="O606" s="98"/>
      <c r="P606" s="98"/>
    </row>
    <row r="607" ht="15.75" customHeight="1">
      <c r="C607" s="98"/>
      <c r="M607" s="98"/>
      <c r="N607" s="98"/>
      <c r="O607" s="98"/>
      <c r="P607" s="98"/>
    </row>
    <row r="608" ht="15.75" customHeight="1">
      <c r="C608" s="98"/>
      <c r="M608" s="98"/>
      <c r="N608" s="98"/>
      <c r="O608" s="98"/>
      <c r="P608" s="98"/>
    </row>
    <row r="609" ht="15.75" customHeight="1">
      <c r="C609" s="98"/>
      <c r="M609" s="98"/>
      <c r="N609" s="98"/>
      <c r="O609" s="98"/>
      <c r="P609" s="98"/>
    </row>
    <row r="610" ht="15.75" customHeight="1">
      <c r="C610" s="98"/>
      <c r="M610" s="98"/>
      <c r="N610" s="98"/>
      <c r="O610" s="98"/>
      <c r="P610" s="98"/>
    </row>
    <row r="611" ht="15.75" customHeight="1">
      <c r="C611" s="98"/>
      <c r="M611" s="98"/>
      <c r="N611" s="98"/>
      <c r="O611" s="98"/>
      <c r="P611" s="98"/>
    </row>
    <row r="612" ht="15.75" customHeight="1">
      <c r="C612" s="98"/>
      <c r="M612" s="98"/>
      <c r="N612" s="98"/>
      <c r="O612" s="98"/>
      <c r="P612" s="98"/>
    </row>
    <row r="613" ht="15.75" customHeight="1">
      <c r="C613" s="98"/>
      <c r="M613" s="98"/>
      <c r="N613" s="98"/>
      <c r="O613" s="98"/>
      <c r="P613" s="98"/>
    </row>
    <row r="614" ht="15.75" customHeight="1">
      <c r="C614" s="98"/>
      <c r="M614" s="98"/>
      <c r="N614" s="98"/>
      <c r="O614" s="98"/>
      <c r="P614" s="98"/>
    </row>
    <row r="615" ht="15.75" customHeight="1">
      <c r="C615" s="98"/>
      <c r="M615" s="98"/>
      <c r="N615" s="98"/>
      <c r="O615" s="98"/>
      <c r="P615" s="98"/>
    </row>
    <row r="616" ht="15.75" customHeight="1">
      <c r="C616" s="98"/>
      <c r="M616" s="98"/>
      <c r="N616" s="98"/>
      <c r="O616" s="98"/>
      <c r="P616" s="98"/>
    </row>
    <row r="617" ht="15.75" customHeight="1">
      <c r="C617" s="98"/>
      <c r="M617" s="98"/>
      <c r="N617" s="98"/>
      <c r="O617" s="98"/>
      <c r="P617" s="98"/>
    </row>
    <row r="618" ht="15.75" customHeight="1">
      <c r="C618" s="98"/>
      <c r="M618" s="98"/>
      <c r="N618" s="98"/>
      <c r="O618" s="98"/>
      <c r="P618" s="98"/>
    </row>
    <row r="619" ht="15.75" customHeight="1">
      <c r="C619" s="98"/>
      <c r="M619" s="98"/>
      <c r="N619" s="98"/>
      <c r="O619" s="98"/>
      <c r="P619" s="98"/>
    </row>
    <row r="620" ht="15.75" customHeight="1">
      <c r="C620" s="98"/>
      <c r="M620" s="98"/>
      <c r="N620" s="98"/>
      <c r="O620" s="98"/>
      <c r="P620" s="98"/>
    </row>
    <row r="621" ht="15.75" customHeight="1">
      <c r="C621" s="98"/>
      <c r="M621" s="98"/>
      <c r="N621" s="98"/>
      <c r="O621" s="98"/>
      <c r="P621" s="98"/>
    </row>
    <row r="622" ht="15.75" customHeight="1">
      <c r="C622" s="98"/>
      <c r="M622" s="98"/>
      <c r="N622" s="98"/>
      <c r="O622" s="98"/>
      <c r="P622" s="98"/>
    </row>
    <row r="623" ht="15.75" customHeight="1">
      <c r="C623" s="98"/>
      <c r="M623" s="98"/>
      <c r="N623" s="98"/>
      <c r="O623" s="98"/>
      <c r="P623" s="98"/>
    </row>
    <row r="624" ht="15.75" customHeight="1">
      <c r="C624" s="98"/>
      <c r="M624" s="98"/>
      <c r="N624" s="98"/>
      <c r="O624" s="98"/>
      <c r="P624" s="98"/>
    </row>
    <row r="625" ht="15.75" customHeight="1">
      <c r="C625" s="98"/>
      <c r="M625" s="98"/>
      <c r="N625" s="98"/>
      <c r="O625" s="98"/>
      <c r="P625" s="98"/>
    </row>
    <row r="626" ht="15.75" customHeight="1">
      <c r="C626" s="98"/>
      <c r="M626" s="98"/>
      <c r="N626" s="98"/>
      <c r="O626" s="98"/>
      <c r="P626" s="98"/>
    </row>
    <row r="627" ht="15.75" customHeight="1">
      <c r="C627" s="98"/>
      <c r="M627" s="98"/>
      <c r="N627" s="98"/>
      <c r="O627" s="98"/>
      <c r="P627" s="98"/>
    </row>
    <row r="628" ht="15.75" customHeight="1">
      <c r="C628" s="98"/>
      <c r="M628" s="98"/>
      <c r="N628" s="98"/>
      <c r="O628" s="98"/>
      <c r="P628" s="98"/>
    </row>
    <row r="629" ht="15.75" customHeight="1">
      <c r="C629" s="98"/>
      <c r="M629" s="98"/>
      <c r="N629" s="98"/>
      <c r="O629" s="98"/>
      <c r="P629" s="98"/>
    </row>
    <row r="630" ht="15.75" customHeight="1">
      <c r="C630" s="98"/>
      <c r="M630" s="98"/>
      <c r="N630" s="98"/>
      <c r="O630" s="98"/>
      <c r="P630" s="98"/>
    </row>
    <row r="631" ht="15.75" customHeight="1">
      <c r="C631" s="98"/>
      <c r="M631" s="98"/>
      <c r="N631" s="98"/>
      <c r="O631" s="98"/>
      <c r="P631" s="98"/>
    </row>
    <row r="632" ht="15.75" customHeight="1">
      <c r="C632" s="98"/>
      <c r="M632" s="98"/>
      <c r="N632" s="98"/>
      <c r="O632" s="98"/>
      <c r="P632" s="98"/>
    </row>
    <row r="633" ht="15.75" customHeight="1">
      <c r="C633" s="98"/>
      <c r="M633" s="98"/>
      <c r="N633" s="98"/>
      <c r="O633" s="98"/>
      <c r="P633" s="98"/>
    </row>
    <row r="634" ht="15.75" customHeight="1">
      <c r="C634" s="98"/>
      <c r="M634" s="98"/>
      <c r="N634" s="98"/>
      <c r="O634" s="98"/>
      <c r="P634" s="98"/>
    </row>
    <row r="635" ht="15.75" customHeight="1">
      <c r="C635" s="98"/>
      <c r="M635" s="98"/>
      <c r="N635" s="98"/>
      <c r="O635" s="98"/>
      <c r="P635" s="98"/>
    </row>
    <row r="636" ht="15.75" customHeight="1">
      <c r="C636" s="98"/>
      <c r="M636" s="98"/>
      <c r="N636" s="98"/>
      <c r="O636" s="98"/>
      <c r="P636" s="98"/>
    </row>
    <row r="637" ht="15.75" customHeight="1">
      <c r="C637" s="98"/>
      <c r="M637" s="98"/>
      <c r="N637" s="98"/>
      <c r="O637" s="98"/>
      <c r="P637" s="98"/>
    </row>
    <row r="638" ht="15.75" customHeight="1">
      <c r="C638" s="98"/>
      <c r="M638" s="98"/>
      <c r="N638" s="98"/>
      <c r="O638" s="98"/>
      <c r="P638" s="98"/>
    </row>
    <row r="639" ht="15.75" customHeight="1">
      <c r="C639" s="98"/>
      <c r="M639" s="98"/>
      <c r="N639" s="98"/>
      <c r="O639" s="98"/>
      <c r="P639" s="98"/>
    </row>
    <row r="640" ht="15.75" customHeight="1">
      <c r="C640" s="98"/>
      <c r="M640" s="98"/>
      <c r="N640" s="98"/>
      <c r="O640" s="98"/>
      <c r="P640" s="98"/>
    </row>
    <row r="641" ht="15.75" customHeight="1">
      <c r="C641" s="98"/>
      <c r="M641" s="98"/>
      <c r="N641" s="98"/>
      <c r="O641" s="98"/>
      <c r="P641" s="98"/>
    </row>
    <row r="642" ht="15.75" customHeight="1">
      <c r="C642" s="98"/>
      <c r="M642" s="98"/>
      <c r="N642" s="98"/>
      <c r="O642" s="98"/>
      <c r="P642" s="98"/>
    </row>
    <row r="643" ht="15.75" customHeight="1">
      <c r="C643" s="98"/>
      <c r="M643" s="98"/>
      <c r="N643" s="98"/>
      <c r="O643" s="98"/>
      <c r="P643" s="98"/>
    </row>
    <row r="644" ht="15.75" customHeight="1">
      <c r="C644" s="98"/>
      <c r="M644" s="98"/>
      <c r="N644" s="98"/>
      <c r="O644" s="98"/>
      <c r="P644" s="98"/>
    </row>
    <row r="645" ht="15.75" customHeight="1">
      <c r="C645" s="98"/>
      <c r="M645" s="98"/>
      <c r="N645" s="98"/>
      <c r="O645" s="98"/>
      <c r="P645" s="98"/>
    </row>
    <row r="646" ht="15.75" customHeight="1">
      <c r="C646" s="98"/>
      <c r="M646" s="98"/>
      <c r="N646" s="98"/>
      <c r="O646" s="98"/>
      <c r="P646" s="98"/>
    </row>
    <row r="647" ht="15.75" customHeight="1">
      <c r="C647" s="98"/>
      <c r="M647" s="98"/>
      <c r="N647" s="98"/>
      <c r="O647" s="98"/>
      <c r="P647" s="98"/>
    </row>
    <row r="648" ht="15.75" customHeight="1">
      <c r="C648" s="98"/>
      <c r="M648" s="98"/>
      <c r="N648" s="98"/>
      <c r="O648" s="98"/>
      <c r="P648" s="98"/>
    </row>
    <row r="649" ht="15.75" customHeight="1">
      <c r="C649" s="98"/>
      <c r="M649" s="98"/>
      <c r="N649" s="98"/>
      <c r="O649" s="98"/>
      <c r="P649" s="98"/>
    </row>
    <row r="650" ht="15.75" customHeight="1">
      <c r="C650" s="98"/>
      <c r="M650" s="98"/>
      <c r="N650" s="98"/>
      <c r="O650" s="98"/>
      <c r="P650" s="98"/>
    </row>
    <row r="651" ht="15.75" customHeight="1">
      <c r="C651" s="98"/>
      <c r="M651" s="98"/>
      <c r="N651" s="98"/>
      <c r="O651" s="98"/>
      <c r="P651" s="98"/>
    </row>
    <row r="652" ht="15.75" customHeight="1">
      <c r="C652" s="98"/>
      <c r="M652" s="98"/>
      <c r="N652" s="98"/>
      <c r="O652" s="98"/>
      <c r="P652" s="98"/>
    </row>
    <row r="653" ht="15.75" customHeight="1">
      <c r="C653" s="98"/>
      <c r="M653" s="98"/>
      <c r="N653" s="98"/>
      <c r="O653" s="98"/>
      <c r="P653" s="98"/>
    </row>
    <row r="654" ht="15.75" customHeight="1">
      <c r="C654" s="98"/>
      <c r="M654" s="98"/>
      <c r="N654" s="98"/>
      <c r="O654" s="98"/>
      <c r="P654" s="98"/>
    </row>
    <row r="655" ht="15.75" customHeight="1">
      <c r="C655" s="98"/>
      <c r="M655" s="98"/>
      <c r="N655" s="98"/>
      <c r="O655" s="98"/>
      <c r="P655" s="98"/>
    </row>
    <row r="656" ht="15.75" customHeight="1">
      <c r="C656" s="98"/>
      <c r="M656" s="98"/>
      <c r="N656" s="98"/>
      <c r="O656" s="98"/>
      <c r="P656" s="98"/>
    </row>
    <row r="657" ht="15.75" customHeight="1">
      <c r="C657" s="98"/>
      <c r="M657" s="98"/>
      <c r="N657" s="98"/>
      <c r="O657" s="98"/>
      <c r="P657" s="98"/>
    </row>
    <row r="658" ht="15.75" customHeight="1">
      <c r="C658" s="98"/>
      <c r="M658" s="98"/>
      <c r="N658" s="98"/>
      <c r="O658" s="98"/>
      <c r="P658" s="98"/>
    </row>
    <row r="659" ht="15.75" customHeight="1">
      <c r="C659" s="98"/>
      <c r="M659" s="98"/>
      <c r="N659" s="98"/>
      <c r="O659" s="98"/>
      <c r="P659" s="98"/>
    </row>
    <row r="660" ht="15.75" customHeight="1">
      <c r="C660" s="98"/>
      <c r="M660" s="98"/>
      <c r="N660" s="98"/>
      <c r="O660" s="98"/>
      <c r="P660" s="98"/>
    </row>
    <row r="661" ht="15.75" customHeight="1">
      <c r="C661" s="98"/>
      <c r="M661" s="98"/>
      <c r="N661" s="98"/>
      <c r="O661" s="98"/>
      <c r="P661" s="98"/>
    </row>
    <row r="662" ht="15.75" customHeight="1">
      <c r="C662" s="98"/>
      <c r="M662" s="98"/>
      <c r="N662" s="98"/>
      <c r="O662" s="98"/>
      <c r="P662" s="98"/>
    </row>
    <row r="663" ht="15.75" customHeight="1">
      <c r="C663" s="98"/>
      <c r="M663" s="98"/>
      <c r="N663" s="98"/>
      <c r="O663" s="98"/>
      <c r="P663" s="98"/>
    </row>
    <row r="664" ht="15.75" customHeight="1">
      <c r="C664" s="98"/>
      <c r="M664" s="98"/>
      <c r="N664" s="98"/>
      <c r="O664" s="98"/>
      <c r="P664" s="98"/>
    </row>
    <row r="665" ht="15.75" customHeight="1">
      <c r="C665" s="98"/>
      <c r="M665" s="98"/>
      <c r="N665" s="98"/>
      <c r="O665" s="98"/>
      <c r="P665" s="98"/>
    </row>
    <row r="666" ht="15.75" customHeight="1">
      <c r="C666" s="98"/>
      <c r="M666" s="98"/>
      <c r="N666" s="98"/>
      <c r="O666" s="98"/>
      <c r="P666" s="98"/>
    </row>
    <row r="667" ht="15.75" customHeight="1">
      <c r="C667" s="98"/>
      <c r="M667" s="98"/>
      <c r="N667" s="98"/>
      <c r="O667" s="98"/>
      <c r="P667" s="98"/>
    </row>
    <row r="668" ht="15.75" customHeight="1">
      <c r="C668" s="98"/>
      <c r="M668" s="98"/>
      <c r="N668" s="98"/>
      <c r="O668" s="98"/>
      <c r="P668" s="98"/>
    </row>
    <row r="669" ht="15.75" customHeight="1">
      <c r="C669" s="98"/>
      <c r="M669" s="98"/>
      <c r="N669" s="98"/>
      <c r="O669" s="98"/>
      <c r="P669" s="98"/>
    </row>
    <row r="670" ht="15.75" customHeight="1">
      <c r="C670" s="98"/>
      <c r="M670" s="98"/>
      <c r="N670" s="98"/>
      <c r="O670" s="98"/>
      <c r="P670" s="98"/>
    </row>
    <row r="671" ht="15.75" customHeight="1">
      <c r="C671" s="98"/>
      <c r="M671" s="98"/>
      <c r="N671" s="98"/>
      <c r="O671" s="98"/>
      <c r="P671" s="98"/>
    </row>
    <row r="672" ht="15.75" customHeight="1">
      <c r="C672" s="98"/>
      <c r="M672" s="98"/>
      <c r="N672" s="98"/>
      <c r="O672" s="98"/>
      <c r="P672" s="98"/>
    </row>
    <row r="673" ht="15.75" customHeight="1">
      <c r="C673" s="98"/>
      <c r="M673" s="98"/>
      <c r="N673" s="98"/>
      <c r="O673" s="98"/>
      <c r="P673" s="98"/>
    </row>
    <row r="674" ht="15.75" customHeight="1">
      <c r="C674" s="98"/>
      <c r="M674" s="98"/>
      <c r="N674" s="98"/>
      <c r="O674" s="98"/>
      <c r="P674" s="98"/>
    </row>
    <row r="675" ht="15.75" customHeight="1">
      <c r="C675" s="98"/>
      <c r="M675" s="98"/>
      <c r="N675" s="98"/>
      <c r="O675" s="98"/>
      <c r="P675" s="98"/>
    </row>
    <row r="676" ht="15.75" customHeight="1">
      <c r="C676" s="98"/>
      <c r="M676" s="98"/>
      <c r="N676" s="98"/>
      <c r="O676" s="98"/>
      <c r="P676" s="98"/>
    </row>
    <row r="677" ht="15.75" customHeight="1">
      <c r="C677" s="98"/>
      <c r="M677" s="98"/>
      <c r="N677" s="98"/>
      <c r="O677" s="98"/>
      <c r="P677" s="98"/>
    </row>
    <row r="678" ht="15.75" customHeight="1">
      <c r="C678" s="98"/>
      <c r="M678" s="98"/>
      <c r="N678" s="98"/>
      <c r="O678" s="98"/>
      <c r="P678" s="98"/>
    </row>
    <row r="679" ht="15.75" customHeight="1">
      <c r="C679" s="98"/>
      <c r="M679" s="98"/>
      <c r="N679" s="98"/>
      <c r="O679" s="98"/>
      <c r="P679" s="98"/>
    </row>
    <row r="680" ht="15.75" customHeight="1">
      <c r="C680" s="98"/>
      <c r="M680" s="98"/>
      <c r="N680" s="98"/>
      <c r="O680" s="98"/>
      <c r="P680" s="98"/>
    </row>
    <row r="681" ht="15.75" customHeight="1">
      <c r="C681" s="98"/>
      <c r="M681" s="98"/>
      <c r="N681" s="98"/>
      <c r="O681" s="98"/>
      <c r="P681" s="98"/>
    </row>
    <row r="682" ht="15.75" customHeight="1">
      <c r="C682" s="98"/>
      <c r="M682" s="98"/>
      <c r="N682" s="98"/>
      <c r="O682" s="98"/>
      <c r="P682" s="98"/>
    </row>
    <row r="683" ht="15.75" customHeight="1">
      <c r="C683" s="98"/>
      <c r="M683" s="98"/>
      <c r="N683" s="98"/>
      <c r="O683" s="98"/>
      <c r="P683" s="98"/>
    </row>
    <row r="684" ht="15.75" customHeight="1">
      <c r="C684" s="98"/>
      <c r="M684" s="98"/>
      <c r="N684" s="98"/>
      <c r="O684" s="98"/>
      <c r="P684" s="98"/>
    </row>
    <row r="685" ht="15.75" customHeight="1">
      <c r="C685" s="98"/>
      <c r="M685" s="98"/>
      <c r="N685" s="98"/>
      <c r="O685" s="98"/>
      <c r="P685" s="98"/>
    </row>
    <row r="686" ht="15.75" customHeight="1">
      <c r="C686" s="98"/>
      <c r="M686" s="98"/>
      <c r="N686" s="98"/>
      <c r="O686" s="98"/>
      <c r="P686" s="98"/>
    </row>
    <row r="687" ht="15.75" customHeight="1">
      <c r="C687" s="98"/>
      <c r="M687" s="98"/>
      <c r="N687" s="98"/>
      <c r="O687" s="98"/>
      <c r="P687" s="98"/>
    </row>
    <row r="688" ht="15.75" customHeight="1">
      <c r="C688" s="98"/>
      <c r="M688" s="98"/>
      <c r="N688" s="98"/>
      <c r="O688" s="98"/>
      <c r="P688" s="98"/>
    </row>
    <row r="689" ht="15.75" customHeight="1">
      <c r="C689" s="98"/>
      <c r="M689" s="98"/>
      <c r="N689" s="98"/>
      <c r="O689" s="98"/>
      <c r="P689" s="98"/>
    </row>
    <row r="690" ht="15.75" customHeight="1">
      <c r="C690" s="98"/>
      <c r="M690" s="98"/>
      <c r="N690" s="98"/>
      <c r="O690" s="98"/>
      <c r="P690" s="98"/>
    </row>
    <row r="691" ht="15.75" customHeight="1">
      <c r="C691" s="98"/>
      <c r="M691" s="98"/>
      <c r="N691" s="98"/>
      <c r="O691" s="98"/>
      <c r="P691" s="98"/>
    </row>
    <row r="692" ht="15.75" customHeight="1">
      <c r="C692" s="98"/>
      <c r="M692" s="98"/>
      <c r="N692" s="98"/>
      <c r="O692" s="98"/>
      <c r="P692" s="98"/>
    </row>
    <row r="693" ht="15.75" customHeight="1">
      <c r="C693" s="98"/>
      <c r="M693" s="98"/>
      <c r="N693" s="98"/>
      <c r="O693" s="98"/>
      <c r="P693" s="98"/>
    </row>
    <row r="694" ht="15.75" customHeight="1">
      <c r="C694" s="98"/>
      <c r="M694" s="98"/>
      <c r="N694" s="98"/>
      <c r="O694" s="98"/>
      <c r="P694" s="98"/>
    </row>
    <row r="695" ht="15.75" customHeight="1">
      <c r="C695" s="98"/>
      <c r="M695" s="98"/>
      <c r="N695" s="98"/>
      <c r="O695" s="98"/>
      <c r="P695" s="98"/>
    </row>
    <row r="696" ht="15.75" customHeight="1">
      <c r="C696" s="98"/>
      <c r="M696" s="98"/>
      <c r="N696" s="98"/>
      <c r="O696" s="98"/>
      <c r="P696" s="98"/>
    </row>
    <row r="697" ht="15.75" customHeight="1">
      <c r="C697" s="98"/>
      <c r="M697" s="98"/>
      <c r="N697" s="98"/>
      <c r="O697" s="98"/>
      <c r="P697" s="98"/>
    </row>
    <row r="698" ht="15.75" customHeight="1">
      <c r="C698" s="98"/>
      <c r="M698" s="98"/>
      <c r="N698" s="98"/>
      <c r="O698" s="98"/>
      <c r="P698" s="98"/>
    </row>
    <row r="699" ht="15.75" customHeight="1">
      <c r="C699" s="98"/>
      <c r="M699" s="98"/>
      <c r="N699" s="98"/>
      <c r="O699" s="98"/>
      <c r="P699" s="98"/>
    </row>
    <row r="700" ht="15.75" customHeight="1">
      <c r="C700" s="98"/>
      <c r="M700" s="98"/>
      <c r="N700" s="98"/>
      <c r="O700" s="98"/>
      <c r="P700" s="98"/>
    </row>
    <row r="701" ht="15.75" customHeight="1">
      <c r="C701" s="98"/>
      <c r="M701" s="98"/>
      <c r="N701" s="98"/>
      <c r="O701" s="98"/>
      <c r="P701" s="98"/>
    </row>
    <row r="702" ht="15.75" customHeight="1">
      <c r="C702" s="98"/>
      <c r="M702" s="98"/>
      <c r="N702" s="98"/>
      <c r="O702" s="98"/>
      <c r="P702" s="98"/>
    </row>
    <row r="703" ht="15.75" customHeight="1">
      <c r="C703" s="98"/>
      <c r="M703" s="98"/>
      <c r="N703" s="98"/>
      <c r="O703" s="98"/>
      <c r="P703" s="98"/>
    </row>
    <row r="704" ht="15.75" customHeight="1">
      <c r="C704" s="98"/>
      <c r="M704" s="98"/>
      <c r="N704" s="98"/>
      <c r="O704" s="98"/>
      <c r="P704" s="98"/>
    </row>
    <row r="705" ht="15.75" customHeight="1">
      <c r="C705" s="98"/>
      <c r="M705" s="98"/>
      <c r="N705" s="98"/>
      <c r="O705" s="98"/>
      <c r="P705" s="98"/>
    </row>
    <row r="706" ht="15.75" customHeight="1">
      <c r="C706" s="98"/>
      <c r="M706" s="98"/>
      <c r="N706" s="98"/>
      <c r="O706" s="98"/>
      <c r="P706" s="98"/>
    </row>
    <row r="707" ht="15.75" customHeight="1">
      <c r="C707" s="98"/>
      <c r="M707" s="98"/>
      <c r="N707" s="98"/>
      <c r="O707" s="98"/>
      <c r="P707" s="98"/>
    </row>
    <row r="708" ht="15.75" customHeight="1">
      <c r="C708" s="98"/>
      <c r="M708" s="98"/>
      <c r="N708" s="98"/>
      <c r="O708" s="98"/>
      <c r="P708" s="98"/>
    </row>
    <row r="709" ht="15.75" customHeight="1">
      <c r="C709" s="98"/>
      <c r="M709" s="98"/>
      <c r="N709" s="98"/>
      <c r="O709" s="98"/>
      <c r="P709" s="98"/>
    </row>
    <row r="710" ht="15.75" customHeight="1">
      <c r="C710" s="98"/>
      <c r="M710" s="98"/>
      <c r="N710" s="98"/>
      <c r="O710" s="98"/>
      <c r="P710" s="98"/>
    </row>
    <row r="711" ht="15.75" customHeight="1">
      <c r="C711" s="98"/>
      <c r="M711" s="98"/>
      <c r="N711" s="98"/>
      <c r="O711" s="98"/>
      <c r="P711" s="98"/>
    </row>
    <row r="712" ht="15.75" customHeight="1">
      <c r="C712" s="98"/>
      <c r="M712" s="98"/>
      <c r="N712" s="98"/>
      <c r="O712" s="98"/>
      <c r="P712" s="98"/>
    </row>
    <row r="713" ht="15.75" customHeight="1">
      <c r="C713" s="98"/>
      <c r="M713" s="98"/>
      <c r="N713" s="98"/>
      <c r="O713" s="98"/>
      <c r="P713" s="98"/>
    </row>
    <row r="714" ht="15.75" customHeight="1">
      <c r="C714" s="98"/>
      <c r="M714" s="98"/>
      <c r="N714" s="98"/>
      <c r="O714" s="98"/>
      <c r="P714" s="98"/>
    </row>
    <row r="715" ht="15.75" customHeight="1">
      <c r="C715" s="98"/>
      <c r="M715" s="98"/>
      <c r="N715" s="98"/>
      <c r="O715" s="98"/>
      <c r="P715" s="98"/>
    </row>
    <row r="716" ht="15.75" customHeight="1">
      <c r="C716" s="98"/>
      <c r="M716" s="98"/>
      <c r="N716" s="98"/>
      <c r="O716" s="98"/>
      <c r="P716" s="98"/>
    </row>
    <row r="717" ht="15.75" customHeight="1">
      <c r="C717" s="98"/>
      <c r="M717" s="98"/>
      <c r="N717" s="98"/>
      <c r="O717" s="98"/>
      <c r="P717" s="98"/>
    </row>
    <row r="718" ht="15.75" customHeight="1">
      <c r="C718" s="98"/>
      <c r="M718" s="98"/>
      <c r="N718" s="98"/>
      <c r="O718" s="98"/>
      <c r="P718" s="98"/>
    </row>
    <row r="719" ht="15.75" customHeight="1">
      <c r="C719" s="98"/>
      <c r="M719" s="98"/>
      <c r="N719" s="98"/>
      <c r="O719" s="98"/>
      <c r="P719" s="98"/>
    </row>
    <row r="720" ht="15.75" customHeight="1">
      <c r="C720" s="98"/>
      <c r="M720" s="98"/>
      <c r="N720" s="98"/>
      <c r="O720" s="98"/>
      <c r="P720" s="98"/>
    </row>
    <row r="721" ht="15.75" customHeight="1">
      <c r="C721" s="98"/>
      <c r="M721" s="98"/>
      <c r="N721" s="98"/>
      <c r="O721" s="98"/>
      <c r="P721" s="98"/>
    </row>
    <row r="722" ht="15.75" customHeight="1">
      <c r="C722" s="98"/>
      <c r="M722" s="98"/>
      <c r="N722" s="98"/>
      <c r="O722" s="98"/>
      <c r="P722" s="98"/>
    </row>
    <row r="723" ht="15.75" customHeight="1">
      <c r="C723" s="98"/>
      <c r="M723" s="98"/>
      <c r="N723" s="98"/>
      <c r="O723" s="98"/>
      <c r="P723" s="98"/>
    </row>
    <row r="724" ht="15.75" customHeight="1">
      <c r="C724" s="98"/>
      <c r="M724" s="98"/>
      <c r="N724" s="98"/>
      <c r="O724" s="98"/>
      <c r="P724" s="98"/>
    </row>
    <row r="725" ht="15.75" customHeight="1">
      <c r="C725" s="98"/>
      <c r="M725" s="98"/>
      <c r="N725" s="98"/>
      <c r="O725" s="98"/>
      <c r="P725" s="98"/>
    </row>
    <row r="726" ht="15.75" customHeight="1">
      <c r="C726" s="98"/>
      <c r="M726" s="98"/>
      <c r="N726" s="98"/>
      <c r="O726" s="98"/>
      <c r="P726" s="98"/>
    </row>
    <row r="727" ht="15.75" customHeight="1">
      <c r="C727" s="98"/>
      <c r="M727" s="98"/>
      <c r="N727" s="98"/>
      <c r="O727" s="98"/>
      <c r="P727" s="98"/>
    </row>
    <row r="728" ht="15.75" customHeight="1">
      <c r="C728" s="98"/>
      <c r="M728" s="98"/>
      <c r="N728" s="98"/>
      <c r="O728" s="98"/>
      <c r="P728" s="98"/>
    </row>
    <row r="729" ht="15.75" customHeight="1">
      <c r="C729" s="98"/>
      <c r="M729" s="98"/>
      <c r="N729" s="98"/>
      <c r="O729" s="98"/>
      <c r="P729" s="98"/>
    </row>
    <row r="730" ht="15.75" customHeight="1">
      <c r="C730" s="98"/>
      <c r="M730" s="98"/>
      <c r="N730" s="98"/>
      <c r="O730" s="98"/>
      <c r="P730" s="98"/>
    </row>
    <row r="731" ht="15.75" customHeight="1">
      <c r="C731" s="98"/>
      <c r="M731" s="98"/>
      <c r="N731" s="98"/>
      <c r="O731" s="98"/>
      <c r="P731" s="98"/>
    </row>
    <row r="732" ht="15.75" customHeight="1">
      <c r="C732" s="98"/>
      <c r="M732" s="98"/>
      <c r="N732" s="98"/>
      <c r="O732" s="98"/>
      <c r="P732" s="98"/>
    </row>
    <row r="733" ht="15.75" customHeight="1">
      <c r="C733" s="98"/>
      <c r="M733" s="98"/>
      <c r="N733" s="98"/>
      <c r="O733" s="98"/>
      <c r="P733" s="98"/>
    </row>
    <row r="734" ht="15.75" customHeight="1">
      <c r="C734" s="98"/>
      <c r="M734" s="98"/>
      <c r="N734" s="98"/>
      <c r="O734" s="98"/>
      <c r="P734" s="98"/>
    </row>
    <row r="735" ht="15.75" customHeight="1">
      <c r="C735" s="98"/>
      <c r="M735" s="98"/>
      <c r="N735" s="98"/>
      <c r="O735" s="98"/>
      <c r="P735" s="98"/>
    </row>
    <row r="736" ht="15.75" customHeight="1">
      <c r="C736" s="98"/>
      <c r="M736" s="98"/>
      <c r="N736" s="98"/>
      <c r="O736" s="98"/>
      <c r="P736" s="98"/>
    </row>
    <row r="737" ht="15.75" customHeight="1">
      <c r="C737" s="98"/>
      <c r="M737" s="98"/>
      <c r="N737" s="98"/>
      <c r="O737" s="98"/>
      <c r="P737" s="98"/>
    </row>
    <row r="738" ht="15.75" customHeight="1">
      <c r="C738" s="98"/>
      <c r="M738" s="98"/>
      <c r="N738" s="98"/>
      <c r="O738" s="98"/>
      <c r="P738" s="98"/>
    </row>
    <row r="739" ht="15.75" customHeight="1">
      <c r="C739" s="98"/>
      <c r="M739" s="98"/>
      <c r="N739" s="98"/>
      <c r="O739" s="98"/>
      <c r="P739" s="98"/>
    </row>
    <row r="740" ht="15.75" customHeight="1">
      <c r="C740" s="98"/>
      <c r="M740" s="98"/>
      <c r="N740" s="98"/>
      <c r="O740" s="98"/>
      <c r="P740" s="98"/>
    </row>
    <row r="741" ht="15.75" customHeight="1">
      <c r="C741" s="98"/>
      <c r="M741" s="98"/>
      <c r="N741" s="98"/>
      <c r="O741" s="98"/>
      <c r="P741" s="98"/>
    </row>
    <row r="742" ht="15.75" customHeight="1">
      <c r="C742" s="98"/>
      <c r="M742" s="98"/>
      <c r="N742" s="98"/>
      <c r="O742" s="98"/>
      <c r="P742" s="98"/>
    </row>
    <row r="743" ht="15.75" customHeight="1">
      <c r="C743" s="98"/>
      <c r="M743" s="98"/>
      <c r="N743" s="98"/>
      <c r="O743" s="98"/>
      <c r="P743" s="98"/>
    </row>
    <row r="744" ht="15.75" customHeight="1">
      <c r="C744" s="98"/>
      <c r="M744" s="98"/>
      <c r="N744" s="98"/>
      <c r="O744" s="98"/>
      <c r="P744" s="98"/>
    </row>
    <row r="745" ht="15.75" customHeight="1">
      <c r="C745" s="98"/>
      <c r="M745" s="98"/>
      <c r="N745" s="98"/>
      <c r="O745" s="98"/>
      <c r="P745" s="98"/>
    </row>
    <row r="746" ht="15.75" customHeight="1">
      <c r="C746" s="98"/>
      <c r="M746" s="98"/>
      <c r="N746" s="98"/>
      <c r="O746" s="98"/>
      <c r="P746" s="98"/>
    </row>
    <row r="747" ht="15.75" customHeight="1">
      <c r="C747" s="98"/>
      <c r="M747" s="98"/>
      <c r="N747" s="98"/>
      <c r="O747" s="98"/>
      <c r="P747" s="98"/>
    </row>
    <row r="748" ht="15.75" customHeight="1">
      <c r="C748" s="98"/>
      <c r="M748" s="98"/>
      <c r="N748" s="98"/>
      <c r="O748" s="98"/>
      <c r="P748" s="98"/>
    </row>
    <row r="749" ht="15.75" customHeight="1">
      <c r="C749" s="98"/>
      <c r="M749" s="98"/>
      <c r="N749" s="98"/>
      <c r="O749" s="98"/>
      <c r="P749" s="98"/>
    </row>
    <row r="750" ht="15.75" customHeight="1">
      <c r="C750" s="98"/>
      <c r="M750" s="98"/>
      <c r="N750" s="98"/>
      <c r="O750" s="98"/>
      <c r="P750" s="98"/>
    </row>
    <row r="751" ht="15.75" customHeight="1">
      <c r="C751" s="98"/>
      <c r="M751" s="98"/>
      <c r="N751" s="98"/>
      <c r="O751" s="98"/>
      <c r="P751" s="98"/>
    </row>
    <row r="752" ht="15.75" customHeight="1">
      <c r="C752" s="98"/>
      <c r="M752" s="98"/>
      <c r="N752" s="98"/>
      <c r="O752" s="98"/>
      <c r="P752" s="98"/>
    </row>
    <row r="753" ht="15.75" customHeight="1">
      <c r="C753" s="98"/>
      <c r="M753" s="98"/>
      <c r="N753" s="98"/>
      <c r="O753" s="98"/>
      <c r="P753" s="98"/>
    </row>
    <row r="754" ht="15.75" customHeight="1">
      <c r="C754" s="98"/>
      <c r="M754" s="98"/>
      <c r="N754" s="98"/>
      <c r="O754" s="98"/>
      <c r="P754" s="98"/>
    </row>
    <row r="755" ht="15.75" customHeight="1">
      <c r="C755" s="98"/>
      <c r="M755" s="98"/>
      <c r="N755" s="98"/>
      <c r="O755" s="98"/>
      <c r="P755" s="98"/>
    </row>
    <row r="756" ht="15.75" customHeight="1">
      <c r="C756" s="98"/>
      <c r="M756" s="98"/>
      <c r="N756" s="98"/>
      <c r="O756" s="98"/>
      <c r="P756" s="98"/>
    </row>
    <row r="757" ht="15.75" customHeight="1">
      <c r="C757" s="98"/>
      <c r="M757" s="98"/>
      <c r="N757" s="98"/>
      <c r="O757" s="98"/>
      <c r="P757" s="98"/>
    </row>
    <row r="758" ht="15.75" customHeight="1">
      <c r="C758" s="98"/>
      <c r="M758" s="98"/>
      <c r="N758" s="98"/>
      <c r="O758" s="98"/>
      <c r="P758" s="98"/>
    </row>
    <row r="759" ht="15.75" customHeight="1">
      <c r="C759" s="98"/>
      <c r="M759" s="98"/>
      <c r="N759" s="98"/>
      <c r="O759" s="98"/>
      <c r="P759" s="98"/>
    </row>
    <row r="760" ht="15.75" customHeight="1">
      <c r="C760" s="98"/>
      <c r="M760" s="98"/>
      <c r="N760" s="98"/>
      <c r="O760" s="98"/>
      <c r="P760" s="98"/>
    </row>
    <row r="761" ht="15.75" customHeight="1">
      <c r="C761" s="98"/>
      <c r="M761" s="98"/>
      <c r="N761" s="98"/>
      <c r="O761" s="98"/>
      <c r="P761" s="98"/>
    </row>
    <row r="762" ht="15.75" customHeight="1">
      <c r="C762" s="98"/>
      <c r="M762" s="98"/>
      <c r="N762" s="98"/>
      <c r="O762" s="98"/>
      <c r="P762" s="98"/>
    </row>
    <row r="763" ht="15.75" customHeight="1">
      <c r="C763" s="98"/>
      <c r="M763" s="98"/>
      <c r="N763" s="98"/>
      <c r="O763" s="98"/>
      <c r="P763" s="98"/>
    </row>
    <row r="764" ht="15.75" customHeight="1">
      <c r="C764" s="98"/>
      <c r="M764" s="98"/>
      <c r="N764" s="98"/>
      <c r="O764" s="98"/>
      <c r="P764" s="98"/>
    </row>
    <row r="765" ht="15.75" customHeight="1">
      <c r="C765" s="98"/>
      <c r="M765" s="98"/>
      <c r="N765" s="98"/>
      <c r="O765" s="98"/>
      <c r="P765" s="98"/>
    </row>
    <row r="766" ht="15.75" customHeight="1">
      <c r="C766" s="98"/>
      <c r="M766" s="98"/>
      <c r="N766" s="98"/>
      <c r="O766" s="98"/>
      <c r="P766" s="98"/>
    </row>
    <row r="767" ht="15.75" customHeight="1">
      <c r="C767" s="98"/>
      <c r="M767" s="98"/>
      <c r="N767" s="98"/>
      <c r="O767" s="98"/>
      <c r="P767" s="98"/>
    </row>
    <row r="768" ht="15.75" customHeight="1">
      <c r="C768" s="98"/>
      <c r="M768" s="98"/>
      <c r="N768" s="98"/>
      <c r="O768" s="98"/>
      <c r="P768" s="98"/>
    </row>
    <row r="769" ht="15.75" customHeight="1">
      <c r="C769" s="98"/>
      <c r="M769" s="98"/>
      <c r="N769" s="98"/>
      <c r="O769" s="98"/>
      <c r="P769" s="98"/>
    </row>
    <row r="770" ht="15.75" customHeight="1">
      <c r="C770" s="98"/>
      <c r="M770" s="98"/>
      <c r="N770" s="98"/>
      <c r="O770" s="98"/>
      <c r="P770" s="98"/>
    </row>
    <row r="771" ht="15.75" customHeight="1">
      <c r="C771" s="98"/>
      <c r="M771" s="98"/>
      <c r="N771" s="98"/>
      <c r="O771" s="98"/>
      <c r="P771" s="98"/>
    </row>
    <row r="772" ht="15.75" customHeight="1">
      <c r="C772" s="98"/>
      <c r="M772" s="98"/>
      <c r="N772" s="98"/>
      <c r="O772" s="98"/>
      <c r="P772" s="98"/>
    </row>
    <row r="773" ht="15.75" customHeight="1">
      <c r="C773" s="98"/>
      <c r="M773" s="98"/>
      <c r="N773" s="98"/>
      <c r="O773" s="98"/>
      <c r="P773" s="98"/>
    </row>
    <row r="774" ht="15.75" customHeight="1">
      <c r="C774" s="98"/>
      <c r="M774" s="98"/>
      <c r="N774" s="98"/>
      <c r="O774" s="98"/>
      <c r="P774" s="98"/>
    </row>
    <row r="775" ht="15.75" customHeight="1">
      <c r="C775" s="98"/>
      <c r="M775" s="98"/>
      <c r="N775" s="98"/>
      <c r="O775" s="98"/>
      <c r="P775" s="98"/>
    </row>
    <row r="776" ht="15.75" customHeight="1">
      <c r="C776" s="98"/>
      <c r="M776" s="98"/>
      <c r="N776" s="98"/>
      <c r="O776" s="98"/>
      <c r="P776" s="98"/>
    </row>
    <row r="777" ht="15.75" customHeight="1">
      <c r="C777" s="98"/>
      <c r="M777" s="98"/>
      <c r="N777" s="98"/>
      <c r="O777" s="98"/>
      <c r="P777" s="98"/>
    </row>
    <row r="778" ht="15.75" customHeight="1">
      <c r="C778" s="98"/>
      <c r="M778" s="98"/>
      <c r="N778" s="98"/>
      <c r="O778" s="98"/>
      <c r="P778" s="98"/>
    </row>
    <row r="779" ht="15.75" customHeight="1">
      <c r="C779" s="98"/>
      <c r="M779" s="98"/>
      <c r="N779" s="98"/>
      <c r="O779" s="98"/>
      <c r="P779" s="98"/>
    </row>
    <row r="780" ht="15.75" customHeight="1">
      <c r="C780" s="98"/>
      <c r="M780" s="98"/>
      <c r="N780" s="98"/>
      <c r="O780" s="98"/>
      <c r="P780" s="98"/>
    </row>
    <row r="781" ht="15.75" customHeight="1">
      <c r="C781" s="98"/>
      <c r="M781" s="98"/>
      <c r="N781" s="98"/>
      <c r="O781" s="98"/>
      <c r="P781" s="98"/>
    </row>
    <row r="782" ht="15.75" customHeight="1">
      <c r="C782" s="98"/>
      <c r="M782" s="98"/>
      <c r="N782" s="98"/>
      <c r="O782" s="98"/>
      <c r="P782" s="98"/>
    </row>
    <row r="783" ht="15.75" customHeight="1">
      <c r="C783" s="98"/>
      <c r="M783" s="98"/>
      <c r="N783" s="98"/>
      <c r="O783" s="98"/>
      <c r="P783" s="98"/>
    </row>
    <row r="784" ht="15.75" customHeight="1">
      <c r="C784" s="98"/>
      <c r="M784" s="98"/>
      <c r="N784" s="98"/>
      <c r="O784" s="98"/>
      <c r="P784" s="98"/>
    </row>
    <row r="785" ht="15.75" customHeight="1">
      <c r="C785" s="98"/>
      <c r="M785" s="98"/>
      <c r="N785" s="98"/>
      <c r="O785" s="98"/>
      <c r="P785" s="98"/>
    </row>
    <row r="786" ht="15.75" customHeight="1">
      <c r="C786" s="98"/>
      <c r="M786" s="98"/>
      <c r="N786" s="98"/>
      <c r="O786" s="98"/>
      <c r="P786" s="98"/>
    </row>
    <row r="787" ht="15.75" customHeight="1">
      <c r="C787" s="98"/>
      <c r="M787" s="98"/>
      <c r="N787" s="98"/>
      <c r="O787" s="98"/>
      <c r="P787" s="98"/>
    </row>
    <row r="788" ht="15.75" customHeight="1">
      <c r="C788" s="98"/>
      <c r="M788" s="98"/>
      <c r="N788" s="98"/>
      <c r="O788" s="98"/>
      <c r="P788" s="98"/>
    </row>
    <row r="789" ht="15.75" customHeight="1">
      <c r="C789" s="98"/>
      <c r="M789" s="98"/>
      <c r="N789" s="98"/>
      <c r="O789" s="98"/>
      <c r="P789" s="98"/>
    </row>
    <row r="790" ht="15.75" customHeight="1">
      <c r="C790" s="98"/>
      <c r="M790" s="98"/>
      <c r="N790" s="98"/>
      <c r="O790" s="98"/>
      <c r="P790" s="98"/>
    </row>
    <row r="791" ht="15.75" customHeight="1">
      <c r="C791" s="98"/>
      <c r="M791" s="98"/>
      <c r="N791" s="98"/>
      <c r="O791" s="98"/>
      <c r="P791" s="98"/>
    </row>
    <row r="792" ht="15.75" customHeight="1">
      <c r="C792" s="98"/>
      <c r="M792" s="98"/>
      <c r="N792" s="98"/>
      <c r="O792" s="98"/>
      <c r="P792" s="98"/>
    </row>
    <row r="793" ht="15.75" customHeight="1">
      <c r="C793" s="98"/>
      <c r="M793" s="98"/>
      <c r="N793" s="98"/>
      <c r="O793" s="98"/>
      <c r="P793" s="98"/>
    </row>
    <row r="794" ht="15.75" customHeight="1">
      <c r="C794" s="98"/>
      <c r="M794" s="98"/>
      <c r="N794" s="98"/>
      <c r="O794" s="98"/>
      <c r="P794" s="98"/>
    </row>
    <row r="795" ht="15.75" customHeight="1">
      <c r="C795" s="98"/>
      <c r="M795" s="98"/>
      <c r="N795" s="98"/>
      <c r="O795" s="98"/>
      <c r="P795" s="98"/>
    </row>
    <row r="796" ht="15.75" customHeight="1">
      <c r="C796" s="98"/>
      <c r="M796" s="98"/>
      <c r="N796" s="98"/>
      <c r="O796" s="98"/>
      <c r="P796" s="98"/>
    </row>
    <row r="797" ht="15.75" customHeight="1">
      <c r="C797" s="98"/>
      <c r="M797" s="98"/>
      <c r="N797" s="98"/>
      <c r="O797" s="98"/>
      <c r="P797" s="98"/>
    </row>
    <row r="798" ht="15.75" customHeight="1">
      <c r="C798" s="98"/>
      <c r="M798" s="98"/>
      <c r="N798" s="98"/>
      <c r="O798" s="98"/>
      <c r="P798" s="98"/>
    </row>
    <row r="799" ht="15.75" customHeight="1">
      <c r="C799" s="98"/>
      <c r="M799" s="98"/>
      <c r="N799" s="98"/>
      <c r="O799" s="98"/>
      <c r="P799" s="98"/>
    </row>
    <row r="800" ht="15.75" customHeight="1">
      <c r="C800" s="98"/>
      <c r="M800" s="98"/>
      <c r="N800" s="98"/>
      <c r="O800" s="98"/>
      <c r="P800" s="98"/>
    </row>
    <row r="801" ht="15.75" customHeight="1">
      <c r="C801" s="98"/>
      <c r="M801" s="98"/>
      <c r="N801" s="98"/>
      <c r="O801" s="98"/>
      <c r="P801" s="98"/>
    </row>
    <row r="802" ht="15.75" customHeight="1">
      <c r="C802" s="98"/>
      <c r="M802" s="98"/>
      <c r="N802" s="98"/>
      <c r="O802" s="98"/>
      <c r="P802" s="98"/>
    </row>
    <row r="803" ht="15.75" customHeight="1">
      <c r="C803" s="98"/>
      <c r="M803" s="98"/>
      <c r="N803" s="98"/>
      <c r="O803" s="98"/>
      <c r="P803" s="98"/>
    </row>
    <row r="804" ht="15.75" customHeight="1">
      <c r="C804" s="98"/>
      <c r="M804" s="98"/>
      <c r="N804" s="98"/>
      <c r="O804" s="98"/>
      <c r="P804" s="98"/>
    </row>
    <row r="805" ht="15.75" customHeight="1">
      <c r="C805" s="98"/>
      <c r="M805" s="98"/>
      <c r="N805" s="98"/>
      <c r="O805" s="98"/>
      <c r="P805" s="98"/>
    </row>
    <row r="806" ht="15.75" customHeight="1">
      <c r="C806" s="98"/>
      <c r="M806" s="98"/>
      <c r="N806" s="98"/>
      <c r="O806" s="98"/>
      <c r="P806" s="98"/>
    </row>
    <row r="807" ht="15.75" customHeight="1">
      <c r="C807" s="98"/>
      <c r="M807" s="98"/>
      <c r="N807" s="98"/>
      <c r="O807" s="98"/>
      <c r="P807" s="98"/>
    </row>
    <row r="808" ht="15.75" customHeight="1">
      <c r="C808" s="98"/>
      <c r="M808" s="98"/>
      <c r="N808" s="98"/>
      <c r="O808" s="98"/>
      <c r="P808" s="98"/>
    </row>
    <row r="809" ht="15.75" customHeight="1">
      <c r="C809" s="98"/>
      <c r="M809" s="98"/>
      <c r="N809" s="98"/>
      <c r="O809" s="98"/>
      <c r="P809" s="98"/>
    </row>
    <row r="810" ht="15.75" customHeight="1">
      <c r="C810" s="98"/>
      <c r="M810" s="98"/>
      <c r="N810" s="98"/>
      <c r="O810" s="98"/>
      <c r="P810" s="98"/>
    </row>
    <row r="811" ht="15.75" customHeight="1">
      <c r="C811" s="98"/>
      <c r="M811" s="98"/>
      <c r="N811" s="98"/>
      <c r="O811" s="98"/>
      <c r="P811" s="98"/>
    </row>
    <row r="812" ht="15.75" customHeight="1">
      <c r="C812" s="98"/>
      <c r="M812" s="98"/>
      <c r="N812" s="98"/>
      <c r="O812" s="98"/>
      <c r="P812" s="98"/>
    </row>
    <row r="813" ht="15.75" customHeight="1">
      <c r="C813" s="98"/>
      <c r="M813" s="98"/>
      <c r="N813" s="98"/>
      <c r="O813" s="98"/>
      <c r="P813" s="98"/>
    </row>
    <row r="814" ht="15.75" customHeight="1">
      <c r="C814" s="98"/>
      <c r="M814" s="98"/>
      <c r="N814" s="98"/>
      <c r="O814" s="98"/>
      <c r="P814" s="98"/>
    </row>
    <row r="815" ht="15.75" customHeight="1">
      <c r="C815" s="98"/>
      <c r="M815" s="98"/>
      <c r="N815" s="98"/>
      <c r="O815" s="98"/>
      <c r="P815" s="98"/>
    </row>
    <row r="816" ht="15.75" customHeight="1">
      <c r="C816" s="98"/>
      <c r="M816" s="98"/>
      <c r="N816" s="98"/>
      <c r="O816" s="98"/>
      <c r="P816" s="98"/>
    </row>
    <row r="817" ht="15.75" customHeight="1">
      <c r="C817" s="98"/>
      <c r="M817" s="98"/>
      <c r="N817" s="98"/>
      <c r="O817" s="98"/>
      <c r="P817" s="98"/>
    </row>
    <row r="818" ht="15.75" customHeight="1">
      <c r="C818" s="98"/>
      <c r="M818" s="98"/>
      <c r="N818" s="98"/>
      <c r="O818" s="98"/>
      <c r="P818" s="98"/>
    </row>
    <row r="819" ht="15.75" customHeight="1">
      <c r="C819" s="98"/>
      <c r="M819" s="98"/>
      <c r="N819" s="98"/>
      <c r="O819" s="98"/>
      <c r="P819" s="98"/>
    </row>
    <row r="820" ht="15.75" customHeight="1">
      <c r="C820" s="98"/>
      <c r="M820" s="98"/>
      <c r="N820" s="98"/>
      <c r="O820" s="98"/>
      <c r="P820" s="98"/>
    </row>
    <row r="821" ht="15.75" customHeight="1">
      <c r="C821" s="98"/>
      <c r="M821" s="98"/>
      <c r="N821" s="98"/>
      <c r="O821" s="98"/>
      <c r="P821" s="98"/>
    </row>
    <row r="822" ht="15.75" customHeight="1">
      <c r="C822" s="98"/>
      <c r="M822" s="98"/>
      <c r="N822" s="98"/>
      <c r="O822" s="98"/>
      <c r="P822" s="98"/>
    </row>
    <row r="823" ht="15.75" customHeight="1">
      <c r="C823" s="98"/>
      <c r="M823" s="98"/>
      <c r="N823" s="98"/>
      <c r="O823" s="98"/>
      <c r="P823" s="98"/>
    </row>
    <row r="824" ht="15.75" customHeight="1">
      <c r="C824" s="98"/>
      <c r="M824" s="98"/>
      <c r="N824" s="98"/>
      <c r="O824" s="98"/>
      <c r="P824" s="98"/>
    </row>
    <row r="825" ht="15.75" customHeight="1">
      <c r="C825" s="98"/>
      <c r="M825" s="98"/>
      <c r="N825" s="98"/>
      <c r="O825" s="98"/>
      <c r="P825" s="98"/>
    </row>
    <row r="826" ht="15.75" customHeight="1">
      <c r="C826" s="98"/>
      <c r="M826" s="98"/>
      <c r="N826" s="98"/>
      <c r="O826" s="98"/>
      <c r="P826" s="98"/>
    </row>
    <row r="827" ht="15.75" customHeight="1">
      <c r="C827" s="98"/>
      <c r="M827" s="98"/>
      <c r="N827" s="98"/>
      <c r="O827" s="98"/>
      <c r="P827" s="98"/>
    </row>
    <row r="828" ht="15.75" customHeight="1">
      <c r="C828" s="98"/>
      <c r="M828" s="98"/>
      <c r="N828" s="98"/>
      <c r="O828" s="98"/>
      <c r="P828" s="98"/>
    </row>
    <row r="829" ht="15.75" customHeight="1">
      <c r="C829" s="98"/>
      <c r="M829" s="98"/>
      <c r="N829" s="98"/>
      <c r="O829" s="98"/>
      <c r="P829" s="98"/>
    </row>
    <row r="830" ht="15.75" customHeight="1">
      <c r="C830" s="98"/>
      <c r="M830" s="98"/>
      <c r="N830" s="98"/>
      <c r="O830" s="98"/>
      <c r="P830" s="98"/>
    </row>
    <row r="831" ht="15.75" customHeight="1">
      <c r="C831" s="98"/>
      <c r="M831" s="98"/>
      <c r="N831" s="98"/>
      <c r="O831" s="98"/>
      <c r="P831" s="98"/>
    </row>
    <row r="832" ht="15.75" customHeight="1">
      <c r="C832" s="98"/>
      <c r="M832" s="98"/>
      <c r="N832" s="98"/>
      <c r="O832" s="98"/>
      <c r="P832" s="98"/>
    </row>
    <row r="833" ht="15.75" customHeight="1">
      <c r="C833" s="98"/>
      <c r="M833" s="98"/>
      <c r="N833" s="98"/>
      <c r="O833" s="98"/>
      <c r="P833" s="98"/>
    </row>
    <row r="834" ht="15.75" customHeight="1">
      <c r="C834" s="98"/>
      <c r="M834" s="98"/>
      <c r="N834" s="98"/>
      <c r="O834" s="98"/>
      <c r="P834" s="98"/>
    </row>
    <row r="835" ht="15.75" customHeight="1">
      <c r="C835" s="98"/>
      <c r="M835" s="98"/>
      <c r="N835" s="98"/>
      <c r="O835" s="98"/>
      <c r="P835" s="98"/>
    </row>
    <row r="836" ht="15.75" customHeight="1">
      <c r="C836" s="98"/>
      <c r="M836" s="98"/>
      <c r="N836" s="98"/>
      <c r="O836" s="98"/>
      <c r="P836" s="98"/>
    </row>
    <row r="837" ht="15.75" customHeight="1">
      <c r="C837" s="98"/>
      <c r="M837" s="98"/>
      <c r="N837" s="98"/>
      <c r="O837" s="98"/>
      <c r="P837" s="98"/>
    </row>
    <row r="838" ht="15.75" customHeight="1">
      <c r="C838" s="98"/>
      <c r="M838" s="98"/>
      <c r="N838" s="98"/>
      <c r="O838" s="98"/>
      <c r="P838" s="98"/>
    </row>
    <row r="839" ht="15.75" customHeight="1">
      <c r="C839" s="98"/>
      <c r="M839" s="98"/>
      <c r="N839" s="98"/>
      <c r="O839" s="98"/>
      <c r="P839" s="98"/>
    </row>
    <row r="840" ht="15.75" customHeight="1">
      <c r="C840" s="98"/>
      <c r="M840" s="98"/>
      <c r="N840" s="98"/>
      <c r="O840" s="98"/>
      <c r="P840" s="98"/>
    </row>
    <row r="841" ht="15.75" customHeight="1">
      <c r="C841" s="98"/>
      <c r="M841" s="98"/>
      <c r="N841" s="98"/>
      <c r="O841" s="98"/>
      <c r="P841" s="98"/>
    </row>
    <row r="842" ht="15.75" customHeight="1">
      <c r="C842" s="98"/>
      <c r="M842" s="98"/>
      <c r="N842" s="98"/>
      <c r="O842" s="98"/>
      <c r="P842" s="98"/>
    </row>
    <row r="843" ht="15.75" customHeight="1">
      <c r="C843" s="98"/>
      <c r="M843" s="98"/>
      <c r="N843" s="98"/>
      <c r="O843" s="98"/>
      <c r="P843" s="98"/>
    </row>
    <row r="844" ht="15.75" customHeight="1">
      <c r="C844" s="98"/>
      <c r="M844" s="98"/>
      <c r="N844" s="98"/>
      <c r="O844" s="98"/>
      <c r="P844" s="98"/>
    </row>
    <row r="845" ht="15.75" customHeight="1">
      <c r="C845" s="98"/>
      <c r="M845" s="98"/>
      <c r="N845" s="98"/>
      <c r="O845" s="98"/>
      <c r="P845" s="98"/>
    </row>
    <row r="846" ht="15.75" customHeight="1">
      <c r="C846" s="98"/>
      <c r="M846" s="98"/>
      <c r="N846" s="98"/>
      <c r="O846" s="98"/>
      <c r="P846" s="98"/>
    </row>
    <row r="847" ht="15.75" customHeight="1">
      <c r="C847" s="98"/>
      <c r="M847" s="98"/>
      <c r="N847" s="98"/>
      <c r="O847" s="98"/>
      <c r="P847" s="98"/>
    </row>
    <row r="848" ht="15.75" customHeight="1">
      <c r="C848" s="98"/>
      <c r="M848" s="98"/>
      <c r="N848" s="98"/>
      <c r="O848" s="98"/>
      <c r="P848" s="98"/>
    </row>
    <row r="849" ht="15.75" customHeight="1">
      <c r="C849" s="98"/>
      <c r="M849" s="98"/>
      <c r="N849" s="98"/>
      <c r="O849" s="98"/>
      <c r="P849" s="98"/>
    </row>
    <row r="850" ht="15.75" customHeight="1">
      <c r="C850" s="98"/>
      <c r="M850" s="98"/>
      <c r="N850" s="98"/>
      <c r="O850" s="98"/>
      <c r="P850" s="98"/>
    </row>
    <row r="851" ht="15.75" customHeight="1">
      <c r="C851" s="98"/>
      <c r="M851" s="98"/>
      <c r="N851" s="98"/>
      <c r="O851" s="98"/>
      <c r="P851" s="98"/>
    </row>
    <row r="852" ht="15.75" customHeight="1">
      <c r="C852" s="98"/>
      <c r="M852" s="98"/>
      <c r="N852" s="98"/>
      <c r="O852" s="98"/>
      <c r="P852" s="98"/>
    </row>
    <row r="853" ht="15.75" customHeight="1">
      <c r="C853" s="98"/>
      <c r="M853" s="98"/>
      <c r="N853" s="98"/>
      <c r="O853" s="98"/>
      <c r="P853" s="98"/>
    </row>
    <row r="854" ht="15.75" customHeight="1">
      <c r="C854" s="98"/>
      <c r="M854" s="98"/>
      <c r="N854" s="98"/>
      <c r="O854" s="98"/>
      <c r="P854" s="98"/>
    </row>
    <row r="855" ht="15.75" customHeight="1">
      <c r="C855" s="98"/>
      <c r="M855" s="98"/>
      <c r="N855" s="98"/>
      <c r="O855" s="98"/>
      <c r="P855" s="98"/>
    </row>
    <row r="856" ht="15.75" customHeight="1">
      <c r="C856" s="98"/>
      <c r="M856" s="98"/>
      <c r="N856" s="98"/>
      <c r="O856" s="98"/>
      <c r="P856" s="98"/>
    </row>
    <row r="857" ht="15.75" customHeight="1">
      <c r="C857" s="98"/>
      <c r="M857" s="98"/>
      <c r="N857" s="98"/>
      <c r="O857" s="98"/>
      <c r="P857" s="98"/>
    </row>
    <row r="858" ht="15.75" customHeight="1">
      <c r="C858" s="98"/>
      <c r="M858" s="98"/>
      <c r="N858" s="98"/>
      <c r="O858" s="98"/>
      <c r="P858" s="98"/>
    </row>
    <row r="859" ht="15.75" customHeight="1">
      <c r="C859" s="98"/>
      <c r="M859" s="98"/>
      <c r="N859" s="98"/>
      <c r="O859" s="98"/>
      <c r="P859" s="98"/>
    </row>
    <row r="860" ht="15.75" customHeight="1">
      <c r="C860" s="98"/>
      <c r="M860" s="98"/>
      <c r="N860" s="98"/>
      <c r="O860" s="98"/>
      <c r="P860" s="98"/>
    </row>
    <row r="861" ht="15.75" customHeight="1">
      <c r="C861" s="98"/>
      <c r="M861" s="98"/>
      <c r="N861" s="98"/>
      <c r="O861" s="98"/>
      <c r="P861" s="98"/>
    </row>
    <row r="862" ht="15.75" customHeight="1">
      <c r="C862" s="98"/>
      <c r="M862" s="98"/>
      <c r="N862" s="98"/>
      <c r="O862" s="98"/>
      <c r="P862" s="98"/>
    </row>
    <row r="863" ht="15.75" customHeight="1">
      <c r="C863" s="98"/>
      <c r="M863" s="98"/>
      <c r="N863" s="98"/>
      <c r="O863" s="98"/>
      <c r="P863" s="98"/>
    </row>
    <row r="864" ht="15.75" customHeight="1">
      <c r="C864" s="98"/>
      <c r="M864" s="98"/>
      <c r="N864" s="98"/>
      <c r="O864" s="98"/>
      <c r="P864" s="98"/>
    </row>
    <row r="865" ht="15.75" customHeight="1">
      <c r="C865" s="98"/>
      <c r="M865" s="98"/>
      <c r="N865" s="98"/>
      <c r="O865" s="98"/>
      <c r="P865" s="98"/>
    </row>
    <row r="866" ht="15.75" customHeight="1">
      <c r="C866" s="98"/>
      <c r="M866" s="98"/>
      <c r="N866" s="98"/>
      <c r="O866" s="98"/>
      <c r="P866" s="98"/>
    </row>
    <row r="867" ht="15.75" customHeight="1">
      <c r="C867" s="98"/>
      <c r="M867" s="98"/>
      <c r="N867" s="98"/>
      <c r="O867" s="98"/>
      <c r="P867" s="98"/>
    </row>
    <row r="868" ht="15.75" customHeight="1">
      <c r="C868" s="98"/>
      <c r="M868" s="98"/>
      <c r="N868" s="98"/>
      <c r="O868" s="98"/>
      <c r="P868" s="98"/>
    </row>
    <row r="869" ht="15.75" customHeight="1">
      <c r="C869" s="98"/>
      <c r="M869" s="98"/>
      <c r="N869" s="98"/>
      <c r="O869" s="98"/>
      <c r="P869" s="98"/>
    </row>
    <row r="870" ht="15.75" customHeight="1">
      <c r="C870" s="98"/>
      <c r="M870" s="98"/>
      <c r="N870" s="98"/>
      <c r="O870" s="98"/>
      <c r="P870" s="98"/>
    </row>
    <row r="871" ht="15.75" customHeight="1">
      <c r="C871" s="98"/>
      <c r="M871" s="98"/>
      <c r="N871" s="98"/>
      <c r="O871" s="98"/>
      <c r="P871" s="98"/>
    </row>
    <row r="872" ht="15.75" customHeight="1">
      <c r="C872" s="98"/>
      <c r="M872" s="98"/>
      <c r="N872" s="98"/>
      <c r="O872" s="98"/>
      <c r="P872" s="98"/>
    </row>
    <row r="873" ht="15.75" customHeight="1">
      <c r="C873" s="98"/>
      <c r="M873" s="98"/>
      <c r="N873" s="98"/>
      <c r="O873" s="98"/>
      <c r="P873" s="98"/>
    </row>
    <row r="874" ht="15.75" customHeight="1">
      <c r="C874" s="98"/>
      <c r="M874" s="98"/>
      <c r="N874" s="98"/>
      <c r="O874" s="98"/>
      <c r="P874" s="98"/>
    </row>
    <row r="875" ht="15.75" customHeight="1">
      <c r="C875" s="98"/>
      <c r="M875" s="98"/>
      <c r="N875" s="98"/>
      <c r="O875" s="98"/>
      <c r="P875" s="98"/>
    </row>
    <row r="876" ht="15.75" customHeight="1">
      <c r="C876" s="98"/>
      <c r="M876" s="98"/>
      <c r="N876" s="98"/>
      <c r="O876" s="98"/>
      <c r="P876" s="98"/>
    </row>
    <row r="877" ht="15.75" customHeight="1">
      <c r="C877" s="98"/>
      <c r="M877" s="98"/>
      <c r="N877" s="98"/>
      <c r="O877" s="98"/>
      <c r="P877" s="98"/>
    </row>
    <row r="878" ht="15.75" customHeight="1">
      <c r="C878" s="98"/>
      <c r="M878" s="98"/>
      <c r="N878" s="98"/>
      <c r="O878" s="98"/>
      <c r="P878" s="98"/>
    </row>
    <row r="879" ht="15.75" customHeight="1">
      <c r="C879" s="98"/>
      <c r="M879" s="98"/>
      <c r="N879" s="98"/>
      <c r="O879" s="98"/>
      <c r="P879" s="98"/>
    </row>
    <row r="880" ht="15.75" customHeight="1">
      <c r="C880" s="98"/>
      <c r="M880" s="98"/>
      <c r="N880" s="98"/>
      <c r="O880" s="98"/>
      <c r="P880" s="98"/>
    </row>
    <row r="881" ht="15.75" customHeight="1">
      <c r="C881" s="98"/>
      <c r="M881" s="98"/>
      <c r="N881" s="98"/>
      <c r="O881" s="98"/>
      <c r="P881" s="98"/>
    </row>
    <row r="882" ht="15.75" customHeight="1">
      <c r="C882" s="98"/>
      <c r="M882" s="98"/>
      <c r="N882" s="98"/>
      <c r="O882" s="98"/>
      <c r="P882" s="98"/>
    </row>
    <row r="883" ht="15.75" customHeight="1">
      <c r="C883" s="98"/>
      <c r="M883" s="98"/>
      <c r="N883" s="98"/>
      <c r="O883" s="98"/>
      <c r="P883" s="98"/>
    </row>
    <row r="884" ht="15.75" customHeight="1">
      <c r="C884" s="98"/>
      <c r="M884" s="98"/>
      <c r="N884" s="98"/>
      <c r="O884" s="98"/>
      <c r="P884" s="98"/>
    </row>
    <row r="885" ht="15.75" customHeight="1">
      <c r="C885" s="98"/>
      <c r="M885" s="98"/>
      <c r="N885" s="98"/>
      <c r="O885" s="98"/>
      <c r="P885" s="98"/>
    </row>
    <row r="886" ht="15.75" customHeight="1">
      <c r="C886" s="98"/>
      <c r="M886" s="98"/>
      <c r="N886" s="98"/>
      <c r="O886" s="98"/>
      <c r="P886" s="98"/>
    </row>
    <row r="887" ht="15.75" customHeight="1">
      <c r="C887" s="98"/>
      <c r="M887" s="98"/>
      <c r="N887" s="98"/>
      <c r="O887" s="98"/>
      <c r="P887" s="98"/>
    </row>
    <row r="888" ht="15.75" customHeight="1">
      <c r="C888" s="98"/>
      <c r="M888" s="98"/>
      <c r="N888" s="98"/>
      <c r="O888" s="98"/>
      <c r="P888" s="98"/>
    </row>
    <row r="889" ht="15.75" customHeight="1">
      <c r="C889" s="98"/>
      <c r="M889" s="98"/>
      <c r="N889" s="98"/>
      <c r="O889" s="98"/>
      <c r="P889" s="98"/>
    </row>
    <row r="890" ht="15.75" customHeight="1">
      <c r="C890" s="98"/>
      <c r="M890" s="98"/>
      <c r="N890" s="98"/>
      <c r="O890" s="98"/>
      <c r="P890" s="98"/>
    </row>
    <row r="891" ht="15.75" customHeight="1">
      <c r="C891" s="98"/>
      <c r="M891" s="98"/>
      <c r="N891" s="98"/>
      <c r="O891" s="98"/>
      <c r="P891" s="98"/>
    </row>
    <row r="892" ht="15.75" customHeight="1">
      <c r="C892" s="98"/>
      <c r="M892" s="98"/>
      <c r="N892" s="98"/>
      <c r="O892" s="98"/>
      <c r="P892" s="98"/>
    </row>
    <row r="893" ht="15.75" customHeight="1">
      <c r="C893" s="98"/>
      <c r="M893" s="98"/>
      <c r="N893" s="98"/>
      <c r="O893" s="98"/>
      <c r="P893" s="98"/>
    </row>
    <row r="894" ht="15.75" customHeight="1">
      <c r="C894" s="98"/>
      <c r="M894" s="98"/>
      <c r="N894" s="98"/>
      <c r="O894" s="98"/>
      <c r="P894" s="98"/>
    </row>
    <row r="895" ht="15.75" customHeight="1">
      <c r="C895" s="98"/>
      <c r="M895" s="98"/>
      <c r="N895" s="98"/>
      <c r="O895" s="98"/>
      <c r="P895" s="98"/>
    </row>
    <row r="896" ht="15.75" customHeight="1">
      <c r="C896" s="98"/>
      <c r="M896" s="98"/>
      <c r="N896" s="98"/>
      <c r="O896" s="98"/>
      <c r="P896" s="98"/>
    </row>
    <row r="897" ht="15.75" customHeight="1">
      <c r="C897" s="98"/>
      <c r="M897" s="98"/>
      <c r="N897" s="98"/>
      <c r="O897" s="98"/>
      <c r="P897" s="98"/>
    </row>
    <row r="898" ht="15.75" customHeight="1">
      <c r="C898" s="98"/>
      <c r="M898" s="98"/>
      <c r="N898" s="98"/>
      <c r="O898" s="98"/>
      <c r="P898" s="98"/>
    </row>
    <row r="899" ht="15.75" customHeight="1">
      <c r="C899" s="98"/>
      <c r="M899" s="98"/>
      <c r="N899" s="98"/>
      <c r="O899" s="98"/>
      <c r="P899" s="98"/>
    </row>
    <row r="900" ht="15.75" customHeight="1">
      <c r="C900" s="98"/>
      <c r="M900" s="98"/>
      <c r="N900" s="98"/>
      <c r="O900" s="98"/>
      <c r="P900" s="98"/>
    </row>
    <row r="901" ht="15.75" customHeight="1">
      <c r="C901" s="98"/>
      <c r="M901" s="98"/>
      <c r="N901" s="98"/>
      <c r="O901" s="98"/>
      <c r="P901" s="98"/>
    </row>
    <row r="902" ht="15.75" customHeight="1">
      <c r="C902" s="98"/>
      <c r="M902" s="98"/>
      <c r="N902" s="98"/>
      <c r="O902" s="98"/>
      <c r="P902" s="98"/>
    </row>
    <row r="903" ht="15.75" customHeight="1">
      <c r="C903" s="98"/>
      <c r="M903" s="98"/>
      <c r="N903" s="98"/>
      <c r="O903" s="98"/>
      <c r="P903" s="98"/>
    </row>
    <row r="904" ht="15.75" customHeight="1">
      <c r="C904" s="98"/>
      <c r="M904" s="98"/>
      <c r="N904" s="98"/>
      <c r="O904" s="98"/>
      <c r="P904" s="98"/>
    </row>
    <row r="905" ht="15.75" customHeight="1">
      <c r="C905" s="98"/>
      <c r="M905" s="98"/>
      <c r="N905" s="98"/>
      <c r="O905" s="98"/>
      <c r="P905" s="98"/>
    </row>
    <row r="906" ht="15.75" customHeight="1">
      <c r="C906" s="98"/>
      <c r="M906" s="98"/>
      <c r="N906" s="98"/>
      <c r="O906" s="98"/>
      <c r="P906" s="98"/>
    </row>
    <row r="907" ht="15.75" customHeight="1">
      <c r="C907" s="98"/>
      <c r="M907" s="98"/>
      <c r="N907" s="98"/>
      <c r="O907" s="98"/>
      <c r="P907" s="98"/>
    </row>
    <row r="908" ht="15.75" customHeight="1">
      <c r="C908" s="98"/>
      <c r="M908" s="98"/>
      <c r="N908" s="98"/>
      <c r="O908" s="98"/>
      <c r="P908" s="98"/>
    </row>
    <row r="909" ht="15.75" customHeight="1">
      <c r="C909" s="98"/>
      <c r="M909" s="98"/>
      <c r="N909" s="98"/>
      <c r="O909" s="98"/>
      <c r="P909" s="98"/>
    </row>
    <row r="910" ht="15.75" customHeight="1">
      <c r="C910" s="98"/>
      <c r="M910" s="98"/>
      <c r="N910" s="98"/>
      <c r="O910" s="98"/>
      <c r="P910" s="98"/>
    </row>
    <row r="911" ht="15.75" customHeight="1">
      <c r="C911" s="98"/>
      <c r="M911" s="98"/>
      <c r="N911" s="98"/>
      <c r="O911" s="98"/>
      <c r="P911" s="98"/>
    </row>
    <row r="912" ht="15.75" customHeight="1">
      <c r="C912" s="98"/>
      <c r="M912" s="98"/>
      <c r="N912" s="98"/>
      <c r="O912" s="98"/>
      <c r="P912" s="98"/>
    </row>
    <row r="913" ht="15.75" customHeight="1">
      <c r="C913" s="98"/>
      <c r="M913" s="98"/>
      <c r="N913" s="98"/>
      <c r="O913" s="98"/>
      <c r="P913" s="98"/>
    </row>
    <row r="914" ht="15.75" customHeight="1">
      <c r="C914" s="98"/>
      <c r="M914" s="98"/>
      <c r="N914" s="98"/>
      <c r="O914" s="98"/>
      <c r="P914" s="98"/>
    </row>
    <row r="915" ht="15.75" customHeight="1">
      <c r="C915" s="98"/>
      <c r="M915" s="98"/>
      <c r="N915" s="98"/>
      <c r="O915" s="98"/>
      <c r="P915" s="98"/>
    </row>
    <row r="916" ht="15.75" customHeight="1">
      <c r="C916" s="98"/>
      <c r="M916" s="98"/>
      <c r="N916" s="98"/>
      <c r="O916" s="98"/>
      <c r="P916" s="98"/>
    </row>
    <row r="917" ht="15.75" customHeight="1">
      <c r="C917" s="98"/>
      <c r="M917" s="98"/>
      <c r="N917" s="98"/>
      <c r="O917" s="98"/>
      <c r="P917" s="98"/>
    </row>
    <row r="918" ht="15.75" customHeight="1">
      <c r="C918" s="98"/>
      <c r="M918" s="98"/>
      <c r="N918" s="98"/>
      <c r="O918" s="98"/>
      <c r="P918" s="98"/>
    </row>
    <row r="919" ht="15.75" customHeight="1">
      <c r="C919" s="98"/>
      <c r="M919" s="98"/>
      <c r="N919" s="98"/>
      <c r="O919" s="98"/>
      <c r="P919" s="98"/>
    </row>
    <row r="920" ht="15.75" customHeight="1">
      <c r="C920" s="98"/>
      <c r="M920" s="98"/>
      <c r="N920" s="98"/>
      <c r="O920" s="98"/>
      <c r="P920" s="98"/>
    </row>
    <row r="921" ht="15.75" customHeight="1">
      <c r="C921" s="98"/>
      <c r="M921" s="98"/>
      <c r="N921" s="98"/>
      <c r="O921" s="98"/>
      <c r="P921" s="98"/>
    </row>
    <row r="922" ht="15.75" customHeight="1">
      <c r="C922" s="98"/>
      <c r="M922" s="98"/>
      <c r="N922" s="98"/>
      <c r="O922" s="98"/>
      <c r="P922" s="98"/>
    </row>
    <row r="923" ht="15.75" customHeight="1">
      <c r="C923" s="98"/>
      <c r="M923" s="98"/>
      <c r="N923" s="98"/>
      <c r="O923" s="98"/>
      <c r="P923" s="98"/>
    </row>
    <row r="924" ht="15.75" customHeight="1">
      <c r="C924" s="98"/>
      <c r="M924" s="98"/>
      <c r="N924" s="98"/>
      <c r="O924" s="98"/>
      <c r="P924" s="98"/>
    </row>
    <row r="925" ht="15.75" customHeight="1">
      <c r="C925" s="98"/>
      <c r="M925" s="98"/>
      <c r="N925" s="98"/>
      <c r="O925" s="98"/>
      <c r="P925" s="98"/>
    </row>
    <row r="926" ht="15.75" customHeight="1">
      <c r="C926" s="98"/>
      <c r="M926" s="98"/>
      <c r="N926" s="98"/>
      <c r="O926" s="98"/>
      <c r="P926" s="98"/>
    </row>
    <row r="927" ht="15.75" customHeight="1">
      <c r="C927" s="98"/>
      <c r="M927" s="98"/>
      <c r="N927" s="98"/>
      <c r="O927" s="98"/>
      <c r="P927" s="98"/>
    </row>
    <row r="928" ht="15.75" customHeight="1">
      <c r="C928" s="98"/>
      <c r="M928" s="98"/>
      <c r="N928" s="98"/>
      <c r="O928" s="98"/>
      <c r="P928" s="98"/>
    </row>
    <row r="929" ht="15.75" customHeight="1">
      <c r="C929" s="98"/>
      <c r="M929" s="98"/>
      <c r="N929" s="98"/>
      <c r="O929" s="98"/>
      <c r="P929" s="98"/>
    </row>
    <row r="930" ht="15.75" customHeight="1">
      <c r="C930" s="98"/>
      <c r="M930" s="98"/>
      <c r="N930" s="98"/>
      <c r="O930" s="98"/>
      <c r="P930" s="98"/>
    </row>
    <row r="931" ht="15.75" customHeight="1">
      <c r="C931" s="98"/>
      <c r="M931" s="98"/>
      <c r="N931" s="98"/>
      <c r="O931" s="98"/>
      <c r="P931" s="98"/>
    </row>
    <row r="932" ht="15.75" customHeight="1">
      <c r="C932" s="98"/>
      <c r="M932" s="98"/>
      <c r="N932" s="98"/>
      <c r="O932" s="98"/>
      <c r="P932" s="98"/>
    </row>
    <row r="933" ht="15.75" customHeight="1">
      <c r="C933" s="98"/>
      <c r="M933" s="98"/>
      <c r="N933" s="98"/>
      <c r="O933" s="98"/>
      <c r="P933" s="98"/>
    </row>
    <row r="934" ht="15.75" customHeight="1">
      <c r="C934" s="98"/>
      <c r="M934" s="98"/>
      <c r="N934" s="98"/>
      <c r="O934" s="98"/>
      <c r="P934" s="98"/>
    </row>
    <row r="935" ht="15.75" customHeight="1">
      <c r="C935" s="98"/>
      <c r="M935" s="98"/>
      <c r="N935" s="98"/>
      <c r="O935" s="98"/>
      <c r="P935" s="98"/>
    </row>
    <row r="936" ht="15.75" customHeight="1">
      <c r="C936" s="98"/>
      <c r="M936" s="98"/>
      <c r="N936" s="98"/>
      <c r="O936" s="98"/>
      <c r="P936" s="98"/>
    </row>
    <row r="937" ht="15.75" customHeight="1">
      <c r="C937" s="98"/>
      <c r="M937" s="98"/>
      <c r="N937" s="98"/>
      <c r="O937" s="98"/>
      <c r="P937" s="98"/>
    </row>
    <row r="938" ht="15.75" customHeight="1">
      <c r="C938" s="98"/>
      <c r="M938" s="98"/>
      <c r="N938" s="98"/>
      <c r="O938" s="98"/>
      <c r="P938" s="98"/>
    </row>
    <row r="939" ht="15.75" customHeight="1">
      <c r="C939" s="98"/>
      <c r="M939" s="98"/>
      <c r="N939" s="98"/>
      <c r="O939" s="98"/>
      <c r="P939" s="98"/>
    </row>
    <row r="940" ht="15.75" customHeight="1">
      <c r="C940" s="98"/>
      <c r="M940" s="98"/>
      <c r="N940" s="98"/>
      <c r="O940" s="98"/>
      <c r="P940" s="98"/>
    </row>
    <row r="941" ht="15.75" customHeight="1">
      <c r="C941" s="98"/>
      <c r="M941" s="98"/>
      <c r="N941" s="98"/>
      <c r="O941" s="98"/>
      <c r="P941" s="98"/>
    </row>
    <row r="942" ht="15.75" customHeight="1">
      <c r="C942" s="98"/>
      <c r="M942" s="98"/>
      <c r="N942" s="98"/>
      <c r="O942" s="98"/>
      <c r="P942" s="98"/>
    </row>
    <row r="943" ht="15.75" customHeight="1">
      <c r="C943" s="98"/>
      <c r="M943" s="98"/>
      <c r="N943" s="98"/>
      <c r="O943" s="98"/>
      <c r="P943" s="98"/>
    </row>
    <row r="944" ht="15.75" customHeight="1">
      <c r="C944" s="98"/>
      <c r="M944" s="98"/>
      <c r="N944" s="98"/>
      <c r="O944" s="98"/>
      <c r="P944" s="98"/>
    </row>
    <row r="945" ht="15.75" customHeight="1">
      <c r="C945" s="98"/>
      <c r="M945" s="98"/>
      <c r="N945" s="98"/>
      <c r="O945" s="98"/>
      <c r="P945" s="98"/>
    </row>
    <row r="946" ht="15.75" customHeight="1">
      <c r="C946" s="98"/>
      <c r="M946" s="98"/>
      <c r="N946" s="98"/>
      <c r="O946" s="98"/>
      <c r="P946" s="98"/>
    </row>
    <row r="947" ht="15.75" customHeight="1">
      <c r="C947" s="98"/>
      <c r="M947" s="98"/>
      <c r="N947" s="98"/>
      <c r="O947" s="98"/>
      <c r="P947" s="98"/>
    </row>
    <row r="948" ht="15.75" customHeight="1">
      <c r="C948" s="98"/>
      <c r="M948" s="98"/>
      <c r="N948" s="98"/>
      <c r="O948" s="98"/>
      <c r="P948" s="98"/>
    </row>
    <row r="949" ht="15.75" customHeight="1">
      <c r="C949" s="98"/>
      <c r="M949" s="98"/>
      <c r="N949" s="98"/>
      <c r="O949" s="98"/>
      <c r="P949" s="98"/>
    </row>
    <row r="950" ht="15.75" customHeight="1">
      <c r="C950" s="98"/>
      <c r="M950" s="98"/>
      <c r="N950" s="98"/>
      <c r="O950" s="98"/>
      <c r="P950" s="98"/>
    </row>
    <row r="951" ht="15.75" customHeight="1">
      <c r="C951" s="98"/>
      <c r="M951" s="98"/>
      <c r="N951" s="98"/>
      <c r="O951" s="98"/>
      <c r="P951" s="98"/>
    </row>
    <row r="952" ht="15.75" customHeight="1">
      <c r="C952" s="98"/>
      <c r="M952" s="98"/>
      <c r="N952" s="98"/>
      <c r="O952" s="98"/>
      <c r="P952" s="98"/>
    </row>
    <row r="953" ht="15.75" customHeight="1">
      <c r="C953" s="98"/>
      <c r="M953" s="98"/>
      <c r="N953" s="98"/>
      <c r="O953" s="98"/>
      <c r="P953" s="98"/>
    </row>
    <row r="954" ht="15.75" customHeight="1">
      <c r="C954" s="98"/>
      <c r="M954" s="98"/>
      <c r="N954" s="98"/>
      <c r="O954" s="98"/>
      <c r="P954" s="98"/>
    </row>
    <row r="955" ht="15.75" customHeight="1">
      <c r="C955" s="98"/>
      <c r="M955" s="98"/>
      <c r="N955" s="98"/>
      <c r="O955" s="98"/>
      <c r="P955" s="98"/>
    </row>
    <row r="956" ht="15.75" customHeight="1">
      <c r="C956" s="98"/>
      <c r="M956" s="98"/>
      <c r="N956" s="98"/>
      <c r="O956" s="98"/>
      <c r="P956" s="98"/>
    </row>
    <row r="957" ht="15.75" customHeight="1">
      <c r="C957" s="98"/>
      <c r="M957" s="98"/>
      <c r="N957" s="98"/>
      <c r="O957" s="98"/>
      <c r="P957" s="98"/>
    </row>
    <row r="958" ht="15.75" customHeight="1">
      <c r="C958" s="98"/>
      <c r="M958" s="98"/>
      <c r="N958" s="98"/>
      <c r="O958" s="98"/>
      <c r="P958" s="98"/>
    </row>
    <row r="959" ht="15.75" customHeight="1">
      <c r="C959" s="98"/>
      <c r="M959" s="98"/>
      <c r="N959" s="98"/>
      <c r="O959" s="98"/>
      <c r="P959" s="98"/>
    </row>
    <row r="960" ht="15.75" customHeight="1">
      <c r="C960" s="98"/>
      <c r="M960" s="98"/>
      <c r="N960" s="98"/>
      <c r="O960" s="98"/>
      <c r="P960" s="98"/>
    </row>
    <row r="961" ht="15.75" customHeight="1">
      <c r="C961" s="98"/>
      <c r="M961" s="98"/>
      <c r="N961" s="98"/>
      <c r="O961" s="98"/>
      <c r="P961" s="98"/>
    </row>
    <row r="962" ht="15.75" customHeight="1">
      <c r="C962" s="98"/>
      <c r="M962" s="98"/>
      <c r="N962" s="98"/>
      <c r="O962" s="98"/>
      <c r="P962" s="98"/>
    </row>
    <row r="963" ht="15.75" customHeight="1">
      <c r="C963" s="98"/>
      <c r="M963" s="98"/>
      <c r="N963" s="98"/>
      <c r="O963" s="98"/>
      <c r="P963" s="98"/>
    </row>
    <row r="964" ht="15.75" customHeight="1">
      <c r="C964" s="98"/>
      <c r="M964" s="98"/>
      <c r="N964" s="98"/>
      <c r="O964" s="98"/>
      <c r="P964" s="98"/>
    </row>
    <row r="965" ht="15.75" customHeight="1">
      <c r="C965" s="98"/>
      <c r="M965" s="98"/>
      <c r="N965" s="98"/>
      <c r="O965" s="98"/>
      <c r="P965" s="98"/>
    </row>
    <row r="966" ht="15.75" customHeight="1">
      <c r="C966" s="98"/>
      <c r="M966" s="98"/>
      <c r="N966" s="98"/>
      <c r="O966" s="98"/>
      <c r="P966" s="98"/>
    </row>
    <row r="967" ht="15.75" customHeight="1">
      <c r="C967" s="98"/>
      <c r="M967" s="98"/>
      <c r="N967" s="98"/>
      <c r="O967" s="98"/>
      <c r="P967" s="98"/>
    </row>
    <row r="968" ht="15.75" customHeight="1">
      <c r="C968" s="98"/>
      <c r="M968" s="98"/>
      <c r="N968" s="98"/>
      <c r="O968" s="98"/>
      <c r="P968" s="98"/>
    </row>
    <row r="969" ht="15.75" customHeight="1">
      <c r="C969" s="98"/>
      <c r="M969" s="98"/>
      <c r="N969" s="98"/>
      <c r="O969" s="98"/>
      <c r="P969" s="98"/>
    </row>
    <row r="970" ht="15.75" customHeight="1">
      <c r="C970" s="98"/>
      <c r="M970" s="98"/>
      <c r="N970" s="98"/>
      <c r="O970" s="98"/>
      <c r="P970" s="98"/>
    </row>
    <row r="971" ht="15.75" customHeight="1">
      <c r="C971" s="98"/>
      <c r="M971" s="98"/>
      <c r="N971" s="98"/>
      <c r="O971" s="98"/>
      <c r="P971" s="98"/>
    </row>
    <row r="972" ht="15.75" customHeight="1">
      <c r="C972" s="98"/>
      <c r="M972" s="98"/>
      <c r="N972" s="98"/>
      <c r="O972" s="98"/>
      <c r="P972" s="98"/>
    </row>
    <row r="973" ht="15.75" customHeight="1">
      <c r="C973" s="98"/>
      <c r="M973" s="98"/>
      <c r="N973" s="98"/>
      <c r="O973" s="98"/>
      <c r="P973" s="98"/>
    </row>
    <row r="974" ht="15.75" customHeight="1">
      <c r="C974" s="98"/>
      <c r="M974" s="98"/>
      <c r="N974" s="98"/>
      <c r="O974" s="98"/>
      <c r="P974" s="98"/>
    </row>
    <row r="975" ht="15.75" customHeight="1">
      <c r="C975" s="98"/>
      <c r="M975" s="98"/>
      <c r="N975" s="98"/>
      <c r="O975" s="98"/>
      <c r="P975" s="98"/>
    </row>
    <row r="976" ht="15.75" customHeight="1">
      <c r="C976" s="98"/>
      <c r="M976" s="98"/>
      <c r="N976" s="98"/>
      <c r="O976" s="98"/>
      <c r="P976" s="98"/>
    </row>
    <row r="977" ht="15.75" customHeight="1">
      <c r="C977" s="98"/>
      <c r="M977" s="98"/>
      <c r="N977" s="98"/>
      <c r="O977" s="98"/>
      <c r="P977" s="98"/>
    </row>
    <row r="978" ht="15.75" customHeight="1">
      <c r="C978" s="98"/>
      <c r="M978" s="98"/>
      <c r="N978" s="98"/>
      <c r="O978" s="98"/>
      <c r="P978" s="98"/>
    </row>
    <row r="979" ht="15.75" customHeight="1">
      <c r="C979" s="98"/>
      <c r="M979" s="98"/>
      <c r="N979" s="98"/>
      <c r="O979" s="98"/>
      <c r="P979" s="98"/>
    </row>
    <row r="980" ht="15.75" customHeight="1">
      <c r="C980" s="98"/>
      <c r="M980" s="98"/>
      <c r="N980" s="98"/>
      <c r="O980" s="98"/>
      <c r="P980" s="98"/>
    </row>
    <row r="981" ht="15.75" customHeight="1">
      <c r="C981" s="98"/>
      <c r="M981" s="98"/>
      <c r="N981" s="98"/>
      <c r="O981" s="98"/>
      <c r="P981" s="98"/>
    </row>
    <row r="982" ht="15.75" customHeight="1">
      <c r="C982" s="98"/>
      <c r="M982" s="98"/>
      <c r="N982" s="98"/>
      <c r="O982" s="98"/>
      <c r="P982" s="98"/>
    </row>
    <row r="983" ht="15.75" customHeight="1">
      <c r="C983" s="98"/>
      <c r="M983" s="98"/>
      <c r="N983" s="98"/>
      <c r="O983" s="98"/>
      <c r="P983" s="98"/>
    </row>
    <row r="984" ht="15.75" customHeight="1">
      <c r="C984" s="98"/>
      <c r="M984" s="98"/>
      <c r="N984" s="98"/>
      <c r="O984" s="98"/>
      <c r="P984" s="98"/>
    </row>
    <row r="985" ht="15.75" customHeight="1">
      <c r="C985" s="98"/>
      <c r="M985" s="98"/>
      <c r="N985" s="98"/>
      <c r="O985" s="98"/>
      <c r="P985" s="98"/>
    </row>
    <row r="986" ht="15.75" customHeight="1">
      <c r="C986" s="98"/>
      <c r="M986" s="98"/>
      <c r="N986" s="98"/>
      <c r="O986" s="98"/>
      <c r="P986" s="98"/>
    </row>
    <row r="987" ht="15.75" customHeight="1">
      <c r="C987" s="98"/>
      <c r="M987" s="98"/>
      <c r="N987" s="98"/>
      <c r="O987" s="98"/>
      <c r="P987" s="98"/>
    </row>
    <row r="988" ht="15.75" customHeight="1">
      <c r="C988" s="98"/>
      <c r="M988" s="98"/>
      <c r="N988" s="98"/>
      <c r="O988" s="98"/>
      <c r="P988" s="98"/>
    </row>
    <row r="989" ht="15.75" customHeight="1">
      <c r="C989" s="98"/>
      <c r="M989" s="98"/>
      <c r="N989" s="98"/>
      <c r="O989" s="98"/>
      <c r="P989" s="98"/>
    </row>
    <row r="990" ht="15.75" customHeight="1">
      <c r="C990" s="98"/>
      <c r="M990" s="98"/>
      <c r="N990" s="98"/>
      <c r="O990" s="98"/>
      <c r="P990" s="98"/>
    </row>
    <row r="991" ht="15.75" customHeight="1">
      <c r="C991" s="98"/>
      <c r="M991" s="98"/>
      <c r="N991" s="98"/>
      <c r="O991" s="98"/>
      <c r="P991" s="98"/>
    </row>
    <row r="992" ht="15.75" customHeight="1">
      <c r="C992" s="98"/>
      <c r="M992" s="98"/>
      <c r="N992" s="98"/>
      <c r="O992" s="98"/>
      <c r="P992" s="98"/>
    </row>
    <row r="993" ht="15.75" customHeight="1">
      <c r="C993" s="98"/>
      <c r="M993" s="98"/>
      <c r="N993" s="98"/>
      <c r="O993" s="98"/>
      <c r="P993" s="98"/>
    </row>
    <row r="994" ht="15.75" customHeight="1">
      <c r="C994" s="98"/>
      <c r="M994" s="98"/>
      <c r="N994" s="98"/>
      <c r="O994" s="98"/>
      <c r="P994" s="98"/>
    </row>
    <row r="995" ht="15.75" customHeight="1">
      <c r="C995" s="98"/>
      <c r="M995" s="98"/>
      <c r="N995" s="98"/>
      <c r="O995" s="98"/>
      <c r="P995" s="98"/>
    </row>
  </sheetData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" width="6.75"/>
    <col customWidth="1" min="3" max="4" width="27.75"/>
    <col customWidth="1" min="5" max="5" width="11.25"/>
    <col customWidth="1" min="6" max="6" width="16.0"/>
    <col customWidth="1" min="7" max="7" width="15.38"/>
    <col customWidth="1" min="8" max="8" width="22.25"/>
    <col customWidth="1" min="9" max="9" width="18.5"/>
    <col customWidth="1" min="10" max="10" width="77.88"/>
    <col customWidth="1" min="11" max="11" width="17.88"/>
    <col customWidth="1" min="12" max="12" width="58.88"/>
    <col customWidth="1" min="13" max="13" width="8.5"/>
    <col customWidth="1" min="14" max="14" width="10.25"/>
    <col customWidth="1" min="15" max="15" width="5.0"/>
    <col customWidth="1" min="16" max="16" width="7.0"/>
    <col customWidth="1" min="17" max="17" width="6.88"/>
    <col customWidth="1" min="18" max="18" width="5.63"/>
    <col customWidth="1" min="19" max="19" width="5.25"/>
    <col customWidth="1" min="20" max="20" width="4.63"/>
    <col customWidth="1" min="21" max="21" width="4.5"/>
  </cols>
  <sheetData>
    <row r="1" ht="14.25" customHeight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3" t="s">
        <v>8</v>
      </c>
      <c r="I1" s="3" t="s">
        <v>9</v>
      </c>
      <c r="J1" s="3" t="s">
        <v>10</v>
      </c>
      <c r="K1" s="3" t="s">
        <v>11</v>
      </c>
      <c r="L1" s="4" t="s">
        <v>636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</row>
    <row r="2" ht="14.25" customHeight="1">
      <c r="A2" s="1" t="s">
        <v>28</v>
      </c>
      <c r="B2" s="1" t="s">
        <v>29</v>
      </c>
      <c r="C2" s="1" t="s">
        <v>30</v>
      </c>
      <c r="D2" s="1" t="s">
        <v>30</v>
      </c>
      <c r="E2" s="1" t="s">
        <v>31</v>
      </c>
      <c r="F2" s="1">
        <v>27.0</v>
      </c>
      <c r="G2" s="3" t="s">
        <v>32</v>
      </c>
      <c r="H2" s="5" t="s">
        <v>33</v>
      </c>
      <c r="I2" s="3"/>
      <c r="J2" s="3" t="s">
        <v>34</v>
      </c>
      <c r="K2" s="3" t="s">
        <v>35</v>
      </c>
      <c r="L2" s="3" t="s">
        <v>637</v>
      </c>
      <c r="M2" s="3" t="s">
        <v>317</v>
      </c>
      <c r="N2" s="3" t="s">
        <v>38</v>
      </c>
      <c r="O2" s="3" t="s">
        <v>39</v>
      </c>
      <c r="P2" s="3" t="s">
        <v>40</v>
      </c>
      <c r="Q2" s="3" t="s">
        <v>39</v>
      </c>
      <c r="R2" s="3" t="s">
        <v>41</v>
      </c>
      <c r="S2" s="3" t="s">
        <v>42</v>
      </c>
      <c r="T2" s="3" t="s">
        <v>43</v>
      </c>
      <c r="U2" s="3" t="s">
        <v>44</v>
      </c>
    </row>
    <row r="3" ht="14.25" customHeight="1">
      <c r="A3" s="1" t="s">
        <v>45</v>
      </c>
      <c r="B3" s="1"/>
      <c r="C3" s="1" t="s">
        <v>30</v>
      </c>
      <c r="D3" s="1" t="s">
        <v>30</v>
      </c>
      <c r="E3" s="1"/>
      <c r="F3" s="1">
        <v>29.0</v>
      </c>
      <c r="G3" s="3" t="s">
        <v>46</v>
      </c>
      <c r="H3" s="6" t="s">
        <v>47</v>
      </c>
      <c r="I3" s="3"/>
      <c r="J3" s="3"/>
      <c r="K3" s="3" t="s">
        <v>48</v>
      </c>
      <c r="L3" s="3" t="s">
        <v>638</v>
      </c>
      <c r="M3" s="3" t="s">
        <v>50</v>
      </c>
      <c r="N3" s="3" t="s">
        <v>51</v>
      </c>
      <c r="O3" s="3" t="s">
        <v>52</v>
      </c>
      <c r="P3" s="3" t="s">
        <v>53</v>
      </c>
      <c r="Q3" s="3" t="s">
        <v>53</v>
      </c>
      <c r="R3" s="3" t="s">
        <v>51</v>
      </c>
      <c r="S3" s="3" t="s">
        <v>54</v>
      </c>
      <c r="T3" s="3" t="s">
        <v>55</v>
      </c>
      <c r="U3" s="3" t="s">
        <v>44</v>
      </c>
    </row>
    <row r="4" ht="14.25" customHeight="1">
      <c r="A4" s="1" t="s">
        <v>56</v>
      </c>
      <c r="B4" s="1"/>
      <c r="C4" s="1" t="s">
        <v>30</v>
      </c>
      <c r="D4" s="1" t="s">
        <v>30</v>
      </c>
      <c r="E4" s="1" t="s">
        <v>31</v>
      </c>
      <c r="F4" s="1">
        <v>29.0</v>
      </c>
      <c r="G4" s="3" t="s">
        <v>57</v>
      </c>
      <c r="H4" s="3"/>
      <c r="I4" s="3"/>
      <c r="J4" s="3" t="s">
        <v>59</v>
      </c>
      <c r="K4" s="3" t="s">
        <v>60</v>
      </c>
      <c r="L4" s="3" t="s">
        <v>639</v>
      </c>
      <c r="M4" s="3" t="s">
        <v>62</v>
      </c>
      <c r="N4" s="3" t="s">
        <v>63</v>
      </c>
      <c r="O4" s="3" t="s">
        <v>44</v>
      </c>
      <c r="P4" s="3" t="s">
        <v>64</v>
      </c>
      <c r="Q4" s="3" t="s">
        <v>64</v>
      </c>
      <c r="R4" s="3" t="s">
        <v>65</v>
      </c>
      <c r="S4" s="3" t="s">
        <v>54</v>
      </c>
      <c r="T4" s="3" t="s">
        <v>40</v>
      </c>
      <c r="U4" s="3" t="s">
        <v>40</v>
      </c>
    </row>
    <row r="5" ht="14.25" customHeight="1">
      <c r="A5" s="1" t="s">
        <v>66</v>
      </c>
      <c r="B5" s="1" t="s">
        <v>67</v>
      </c>
      <c r="C5" s="1" t="s">
        <v>30</v>
      </c>
      <c r="D5" s="1" t="s">
        <v>30</v>
      </c>
      <c r="E5" s="1" t="s">
        <v>68</v>
      </c>
      <c r="F5" s="1">
        <v>30.0</v>
      </c>
      <c r="G5" s="3" t="s">
        <v>32</v>
      </c>
      <c r="H5" s="5" t="s">
        <v>33</v>
      </c>
      <c r="I5" s="3"/>
      <c r="J5" s="3" t="s">
        <v>69</v>
      </c>
      <c r="K5" s="3" t="s">
        <v>70</v>
      </c>
      <c r="L5" s="3" t="s">
        <v>640</v>
      </c>
      <c r="M5" s="3" t="s">
        <v>72</v>
      </c>
      <c r="N5" s="3" t="s">
        <v>73</v>
      </c>
      <c r="O5" s="3" t="s">
        <v>52</v>
      </c>
      <c r="P5" s="3" t="s">
        <v>52</v>
      </c>
      <c r="Q5" s="3" t="s">
        <v>52</v>
      </c>
      <c r="R5" s="3" t="s">
        <v>74</v>
      </c>
      <c r="S5" s="3" t="s">
        <v>75</v>
      </c>
      <c r="T5" s="3" t="s">
        <v>76</v>
      </c>
      <c r="U5" s="3" t="s">
        <v>44</v>
      </c>
    </row>
    <row r="6" ht="14.25" customHeight="1">
      <c r="A6" s="1" t="s">
        <v>77</v>
      </c>
      <c r="B6" s="1" t="s">
        <v>78</v>
      </c>
      <c r="C6" s="1" t="s">
        <v>30</v>
      </c>
      <c r="D6" s="1" t="s">
        <v>30</v>
      </c>
      <c r="E6" s="1" t="s">
        <v>68</v>
      </c>
      <c r="F6" s="1">
        <v>30.0</v>
      </c>
      <c r="G6" s="3" t="s">
        <v>32</v>
      </c>
      <c r="H6" s="5" t="s">
        <v>33</v>
      </c>
      <c r="I6" s="3" t="s">
        <v>79</v>
      </c>
      <c r="J6" s="3" t="s">
        <v>80</v>
      </c>
      <c r="K6" s="3" t="s">
        <v>81</v>
      </c>
      <c r="L6" s="3" t="s">
        <v>641</v>
      </c>
      <c r="M6" s="3" t="s">
        <v>83</v>
      </c>
      <c r="N6" s="3" t="s">
        <v>84</v>
      </c>
      <c r="O6" s="3" t="s">
        <v>85</v>
      </c>
      <c r="P6" s="3" t="s">
        <v>64</v>
      </c>
      <c r="Q6" s="3" t="s">
        <v>64</v>
      </c>
      <c r="R6" s="3" t="s">
        <v>86</v>
      </c>
      <c r="S6" s="3" t="s">
        <v>87</v>
      </c>
      <c r="T6" s="3" t="s">
        <v>88</v>
      </c>
      <c r="U6" s="3" t="s">
        <v>85</v>
      </c>
    </row>
    <row r="7" ht="14.25" customHeight="1">
      <c r="A7" s="1" t="s">
        <v>89</v>
      </c>
      <c r="B7" s="1"/>
      <c r="C7" s="1" t="s">
        <v>30</v>
      </c>
      <c r="D7" s="1" t="s">
        <v>30</v>
      </c>
      <c r="E7" s="1" t="s">
        <v>68</v>
      </c>
      <c r="F7" s="1" t="s">
        <v>90</v>
      </c>
      <c r="G7" s="3" t="s">
        <v>57</v>
      </c>
      <c r="H7" s="3"/>
      <c r="I7" s="3"/>
      <c r="J7" s="3"/>
      <c r="K7" s="3" t="s">
        <v>91</v>
      </c>
      <c r="L7" s="3" t="s">
        <v>642</v>
      </c>
      <c r="M7" s="3" t="s">
        <v>93</v>
      </c>
      <c r="N7" s="3" t="s">
        <v>94</v>
      </c>
      <c r="O7" s="3" t="s">
        <v>85</v>
      </c>
      <c r="P7" s="3" t="s">
        <v>64</v>
      </c>
      <c r="Q7" s="3" t="s">
        <v>64</v>
      </c>
      <c r="R7" s="3" t="s">
        <v>95</v>
      </c>
      <c r="S7" s="3" t="s">
        <v>44</v>
      </c>
      <c r="T7" s="3" t="s">
        <v>96</v>
      </c>
      <c r="U7" s="3" t="s">
        <v>44</v>
      </c>
    </row>
    <row r="8" ht="14.25" customHeight="1">
      <c r="A8" s="1" t="s">
        <v>97</v>
      </c>
      <c r="B8" s="1"/>
      <c r="C8" s="1" t="s">
        <v>30</v>
      </c>
      <c r="D8" s="1" t="s">
        <v>30</v>
      </c>
      <c r="E8" s="1" t="s">
        <v>68</v>
      </c>
      <c r="F8" s="1">
        <v>30.0</v>
      </c>
      <c r="G8" s="3" t="s">
        <v>32</v>
      </c>
      <c r="H8" s="5" t="s">
        <v>33</v>
      </c>
      <c r="I8" s="3" t="s">
        <v>98</v>
      </c>
      <c r="J8" s="3"/>
      <c r="K8" s="3" t="s">
        <v>99</v>
      </c>
      <c r="L8" s="3" t="s">
        <v>643</v>
      </c>
      <c r="M8" s="3" t="s">
        <v>101</v>
      </c>
      <c r="N8" s="3" t="s">
        <v>102</v>
      </c>
      <c r="O8" s="3" t="s">
        <v>42</v>
      </c>
      <c r="P8" s="3" t="s">
        <v>39</v>
      </c>
      <c r="Q8" s="3" t="s">
        <v>40</v>
      </c>
      <c r="R8" s="3" t="s">
        <v>103</v>
      </c>
      <c r="S8" s="3" t="s">
        <v>85</v>
      </c>
      <c r="T8" s="3" t="s">
        <v>104</v>
      </c>
      <c r="U8" s="3" t="s">
        <v>44</v>
      </c>
    </row>
    <row r="9" ht="14.25" customHeight="1">
      <c r="A9" s="1" t="s">
        <v>105</v>
      </c>
      <c r="B9" s="1"/>
      <c r="C9" s="1" t="s">
        <v>30</v>
      </c>
      <c r="D9" s="1" t="s">
        <v>30</v>
      </c>
      <c r="E9" s="1"/>
      <c r="F9" s="2">
        <v>30.0</v>
      </c>
      <c r="G9" s="3" t="s">
        <v>32</v>
      </c>
      <c r="H9" s="5" t="s">
        <v>33</v>
      </c>
      <c r="I9" s="3" t="s">
        <v>106</v>
      </c>
      <c r="J9" s="3" t="s">
        <v>107</v>
      </c>
      <c r="K9" s="3" t="s">
        <v>99</v>
      </c>
      <c r="L9" s="3" t="s">
        <v>644</v>
      </c>
      <c r="M9" s="3" t="s">
        <v>37</v>
      </c>
      <c r="N9" s="3" t="s">
        <v>109</v>
      </c>
      <c r="O9" s="3" t="s">
        <v>44</v>
      </c>
      <c r="P9" s="3" t="s">
        <v>40</v>
      </c>
      <c r="Q9" s="3" t="s">
        <v>40</v>
      </c>
      <c r="R9" s="3" t="s">
        <v>110</v>
      </c>
      <c r="S9" s="3" t="s">
        <v>111</v>
      </c>
      <c r="T9" s="3" t="s">
        <v>112</v>
      </c>
      <c r="U9" s="3" t="s">
        <v>63</v>
      </c>
    </row>
    <row r="10" ht="14.25" customHeight="1">
      <c r="A10" s="1" t="s">
        <v>113</v>
      </c>
      <c r="B10" s="1"/>
      <c r="C10" s="1" t="s">
        <v>30</v>
      </c>
      <c r="D10" s="1" t="s">
        <v>30</v>
      </c>
      <c r="E10" s="1" t="s">
        <v>31</v>
      </c>
      <c r="F10" s="2">
        <v>30.0</v>
      </c>
      <c r="G10" s="3" t="s">
        <v>32</v>
      </c>
      <c r="H10" s="5" t="s">
        <v>33</v>
      </c>
      <c r="I10" s="3"/>
      <c r="J10" s="3" t="s">
        <v>114</v>
      </c>
      <c r="K10" s="3" t="s">
        <v>115</v>
      </c>
      <c r="L10" s="3" t="s">
        <v>645</v>
      </c>
      <c r="M10" s="3" t="s">
        <v>117</v>
      </c>
      <c r="N10" s="3" t="s">
        <v>118</v>
      </c>
      <c r="O10" s="3" t="s">
        <v>44</v>
      </c>
      <c r="P10" s="3" t="s">
        <v>64</v>
      </c>
      <c r="Q10" s="3" t="s">
        <v>64</v>
      </c>
      <c r="R10" s="3" t="s">
        <v>103</v>
      </c>
      <c r="S10" s="3" t="s">
        <v>85</v>
      </c>
      <c r="T10" s="3" t="s">
        <v>119</v>
      </c>
      <c r="U10" s="3" t="s">
        <v>63</v>
      </c>
    </row>
    <row r="11" ht="14.25" customHeight="1">
      <c r="A11" s="1" t="s">
        <v>120</v>
      </c>
      <c r="B11" s="1"/>
      <c r="C11" s="1" t="s">
        <v>30</v>
      </c>
      <c r="D11" s="1" t="s">
        <v>30</v>
      </c>
      <c r="E11" s="1"/>
      <c r="F11" s="2">
        <v>30.0</v>
      </c>
      <c r="G11" s="3" t="s">
        <v>57</v>
      </c>
      <c r="H11" s="3"/>
      <c r="I11" s="3"/>
      <c r="J11" s="3"/>
      <c r="K11" s="3" t="s">
        <v>121</v>
      </c>
      <c r="L11" s="3" t="s">
        <v>646</v>
      </c>
      <c r="M11" s="3" t="s">
        <v>123</v>
      </c>
      <c r="N11" s="3" t="s">
        <v>124</v>
      </c>
      <c r="O11" s="3" t="s">
        <v>52</v>
      </c>
      <c r="P11" s="3" t="s">
        <v>125</v>
      </c>
      <c r="Q11" s="3" t="s">
        <v>125</v>
      </c>
      <c r="R11" s="3" t="s">
        <v>95</v>
      </c>
      <c r="S11" s="3" t="s">
        <v>87</v>
      </c>
      <c r="T11" s="3" t="s">
        <v>126</v>
      </c>
      <c r="U11" s="3" t="s">
        <v>40</v>
      </c>
    </row>
    <row r="12" ht="14.25" customHeight="1">
      <c r="A12" s="7" t="s">
        <v>127</v>
      </c>
      <c r="B12" s="7"/>
      <c r="C12" s="7" t="s">
        <v>128</v>
      </c>
      <c r="D12" s="7" t="s">
        <v>30</v>
      </c>
      <c r="E12" s="7"/>
      <c r="F12" s="8" t="s">
        <v>129</v>
      </c>
      <c r="G12" s="9" t="s">
        <v>57</v>
      </c>
      <c r="H12" s="9"/>
      <c r="I12" s="9"/>
      <c r="J12" s="9"/>
      <c r="K12" s="9" t="s">
        <v>130</v>
      </c>
      <c r="L12" s="9" t="s">
        <v>647</v>
      </c>
      <c r="M12" s="9"/>
      <c r="N12" s="9"/>
      <c r="O12" s="9"/>
      <c r="P12" s="9"/>
      <c r="Q12" s="9"/>
      <c r="R12" s="9"/>
      <c r="S12" s="9"/>
      <c r="T12" s="9"/>
      <c r="U12" s="9"/>
      <c r="V12" s="10"/>
      <c r="W12" s="10"/>
      <c r="X12" s="10"/>
      <c r="Y12" s="10"/>
      <c r="Z12" s="10"/>
    </row>
    <row r="13" ht="14.25" customHeight="1">
      <c r="A13" s="1" t="s">
        <v>131</v>
      </c>
      <c r="B13" s="1"/>
      <c r="C13" s="2" t="s">
        <v>132</v>
      </c>
      <c r="D13" s="2" t="s">
        <v>132</v>
      </c>
      <c r="E13" s="1"/>
      <c r="F13" s="2">
        <v>25.0</v>
      </c>
      <c r="G13" s="3" t="s">
        <v>133</v>
      </c>
      <c r="H13" s="11" t="s">
        <v>133</v>
      </c>
      <c r="I13" s="3"/>
      <c r="J13" s="3" t="s">
        <v>134</v>
      </c>
      <c r="K13" s="3" t="s">
        <v>135</v>
      </c>
      <c r="L13" s="3" t="s">
        <v>648</v>
      </c>
      <c r="M13" s="3" t="s">
        <v>137</v>
      </c>
      <c r="N13" s="3" t="s">
        <v>138</v>
      </c>
      <c r="O13" s="3" t="s">
        <v>39</v>
      </c>
      <c r="P13" s="3" t="s">
        <v>39</v>
      </c>
      <c r="Q13" s="3" t="s">
        <v>39</v>
      </c>
      <c r="R13" s="3" t="s">
        <v>40</v>
      </c>
      <c r="S13" s="3" t="s">
        <v>42</v>
      </c>
      <c r="T13" s="3" t="s">
        <v>139</v>
      </c>
      <c r="U13" s="3" t="s">
        <v>42</v>
      </c>
    </row>
    <row r="14" ht="14.25" customHeight="1">
      <c r="A14" s="1" t="s">
        <v>140</v>
      </c>
      <c r="B14" s="1"/>
      <c r="C14" s="2" t="s">
        <v>141</v>
      </c>
      <c r="D14" s="2" t="s">
        <v>132</v>
      </c>
      <c r="E14" s="1"/>
      <c r="F14" s="2" t="s">
        <v>142</v>
      </c>
      <c r="G14" s="3" t="s">
        <v>133</v>
      </c>
      <c r="H14" s="12" t="s">
        <v>133</v>
      </c>
      <c r="I14" s="3"/>
      <c r="J14" s="3"/>
      <c r="K14" s="3" t="s">
        <v>143</v>
      </c>
      <c r="L14" s="3" t="s">
        <v>649</v>
      </c>
      <c r="M14" s="3" t="s">
        <v>145</v>
      </c>
      <c r="N14" s="3" t="s">
        <v>51</v>
      </c>
      <c r="O14" s="3" t="s">
        <v>52</v>
      </c>
      <c r="P14" s="3" t="s">
        <v>146</v>
      </c>
      <c r="Q14" s="3" t="s">
        <v>147</v>
      </c>
      <c r="R14" s="3" t="s">
        <v>148</v>
      </c>
      <c r="S14" s="3" t="s">
        <v>75</v>
      </c>
      <c r="T14" s="3" t="s">
        <v>55</v>
      </c>
      <c r="U14" s="3" t="s">
        <v>63</v>
      </c>
    </row>
    <row r="15" ht="15.0" customHeight="1">
      <c r="A15" s="2" t="s">
        <v>149</v>
      </c>
      <c r="B15" s="3"/>
      <c r="C15" s="3" t="s">
        <v>150</v>
      </c>
      <c r="D15" s="2" t="s">
        <v>132</v>
      </c>
      <c r="E15" s="3"/>
      <c r="F15" s="2">
        <v>24.0</v>
      </c>
      <c r="G15" s="3"/>
      <c r="H15" s="3"/>
      <c r="I15" s="3"/>
      <c r="J15" s="3"/>
      <c r="K15" s="3" t="s">
        <v>151</v>
      </c>
      <c r="L15" s="3" t="s">
        <v>650</v>
      </c>
      <c r="M15" s="3" t="s">
        <v>153</v>
      </c>
      <c r="N15" s="3" t="s">
        <v>154</v>
      </c>
      <c r="O15" s="3" t="s">
        <v>39</v>
      </c>
      <c r="P15" s="3" t="s">
        <v>40</v>
      </c>
      <c r="Q15" s="3" t="s">
        <v>155</v>
      </c>
      <c r="R15" s="3" t="s">
        <v>148</v>
      </c>
      <c r="S15" s="3" t="s">
        <v>40</v>
      </c>
      <c r="T15" s="3" t="s">
        <v>63</v>
      </c>
      <c r="U15" s="3" t="s">
        <v>44</v>
      </c>
    </row>
    <row r="16" ht="14.25" customHeight="1">
      <c r="A16" s="1" t="s">
        <v>156</v>
      </c>
      <c r="B16" s="1"/>
      <c r="C16" s="2" t="s">
        <v>132</v>
      </c>
      <c r="D16" s="2" t="s">
        <v>132</v>
      </c>
      <c r="E16" s="1"/>
      <c r="F16" s="2">
        <v>22.0</v>
      </c>
      <c r="G16" s="3" t="s">
        <v>133</v>
      </c>
      <c r="H16" s="11" t="s">
        <v>133</v>
      </c>
      <c r="I16" s="3"/>
      <c r="J16" s="3"/>
      <c r="K16" s="3" t="s">
        <v>157</v>
      </c>
      <c r="L16" s="3" t="s">
        <v>651</v>
      </c>
      <c r="M16" s="3" t="s">
        <v>153</v>
      </c>
      <c r="N16" s="3" t="s">
        <v>41</v>
      </c>
      <c r="O16" s="3" t="s">
        <v>44</v>
      </c>
      <c r="P16" s="3" t="s">
        <v>64</v>
      </c>
      <c r="Q16" s="3" t="s">
        <v>64</v>
      </c>
      <c r="R16" s="3" t="s">
        <v>159</v>
      </c>
      <c r="S16" s="3" t="s">
        <v>85</v>
      </c>
      <c r="T16" s="3" t="s">
        <v>85</v>
      </c>
      <c r="U16" s="3" t="s">
        <v>39</v>
      </c>
    </row>
    <row r="17" ht="14.25" customHeight="1">
      <c r="A17" s="1" t="s">
        <v>160</v>
      </c>
      <c r="B17" s="1"/>
      <c r="C17" s="1" t="s">
        <v>128</v>
      </c>
      <c r="D17" s="2" t="s">
        <v>132</v>
      </c>
      <c r="E17" s="1" t="s">
        <v>68</v>
      </c>
      <c r="F17" s="2" t="s">
        <v>652</v>
      </c>
      <c r="G17" s="3" t="s">
        <v>133</v>
      </c>
      <c r="H17" s="11" t="s">
        <v>133</v>
      </c>
      <c r="I17" s="3"/>
      <c r="J17" s="3"/>
      <c r="K17" s="3" t="s">
        <v>653</v>
      </c>
      <c r="L17" s="3" t="s">
        <v>654</v>
      </c>
      <c r="M17" s="3" t="s">
        <v>166</v>
      </c>
      <c r="N17" s="3" t="s">
        <v>94</v>
      </c>
      <c r="O17" s="3" t="s">
        <v>42</v>
      </c>
      <c r="P17" s="3" t="s">
        <v>75</v>
      </c>
      <c r="Q17" s="3" t="s">
        <v>44</v>
      </c>
      <c r="R17" s="3" t="s">
        <v>167</v>
      </c>
      <c r="S17" s="3" t="s">
        <v>63</v>
      </c>
      <c r="T17" s="3" t="s">
        <v>55</v>
      </c>
      <c r="U17" s="3" t="s">
        <v>44</v>
      </c>
    </row>
    <row r="18" ht="14.25" customHeight="1">
      <c r="A18" s="1" t="s">
        <v>168</v>
      </c>
      <c r="B18" s="1"/>
      <c r="C18" s="2" t="s">
        <v>169</v>
      </c>
      <c r="D18" s="2" t="s">
        <v>169</v>
      </c>
      <c r="E18" s="1"/>
      <c r="F18" s="2">
        <v>2.0</v>
      </c>
      <c r="G18" s="3" t="s">
        <v>133</v>
      </c>
      <c r="H18" s="11" t="s">
        <v>133</v>
      </c>
      <c r="I18" s="3"/>
      <c r="J18" s="3"/>
      <c r="K18" s="3" t="s">
        <v>170</v>
      </c>
      <c r="L18" s="3" t="s">
        <v>655</v>
      </c>
      <c r="M18" s="3" t="s">
        <v>166</v>
      </c>
      <c r="N18" s="3" t="s">
        <v>51</v>
      </c>
      <c r="O18" s="3" t="s">
        <v>39</v>
      </c>
      <c r="P18" s="3" t="s">
        <v>39</v>
      </c>
      <c r="Q18" s="3" t="s">
        <v>39</v>
      </c>
      <c r="R18" s="3" t="s">
        <v>166</v>
      </c>
      <c r="S18" s="3" t="s">
        <v>54</v>
      </c>
      <c r="T18" s="3" t="s">
        <v>55</v>
      </c>
      <c r="U18" s="3" t="s">
        <v>44</v>
      </c>
    </row>
    <row r="19" ht="14.25" customHeight="1">
      <c r="A19" s="1" t="s">
        <v>177</v>
      </c>
      <c r="B19" s="1"/>
      <c r="C19" s="2" t="s">
        <v>178</v>
      </c>
      <c r="D19" s="2" t="s">
        <v>169</v>
      </c>
      <c r="E19" s="1" t="s">
        <v>31</v>
      </c>
      <c r="F19" s="2" t="s">
        <v>179</v>
      </c>
      <c r="G19" s="3" t="s">
        <v>133</v>
      </c>
      <c r="H19" s="11" t="s">
        <v>133</v>
      </c>
      <c r="I19" s="3"/>
      <c r="J19" s="3" t="s">
        <v>656</v>
      </c>
      <c r="K19" s="3" t="s">
        <v>181</v>
      </c>
      <c r="L19" s="3" t="s">
        <v>657</v>
      </c>
      <c r="M19" s="3" t="s">
        <v>184</v>
      </c>
      <c r="N19" s="3" t="s">
        <v>185</v>
      </c>
      <c r="O19" s="3" t="s">
        <v>44</v>
      </c>
      <c r="P19" s="3" t="s">
        <v>64</v>
      </c>
      <c r="Q19" s="3" t="s">
        <v>64</v>
      </c>
      <c r="R19" s="3" t="s">
        <v>186</v>
      </c>
      <c r="S19" s="3" t="s">
        <v>39</v>
      </c>
      <c r="T19" s="3" t="s">
        <v>55</v>
      </c>
      <c r="U19" s="3" t="s">
        <v>44</v>
      </c>
    </row>
    <row r="20" ht="14.25" customHeight="1">
      <c r="A20" s="1" t="s">
        <v>187</v>
      </c>
      <c r="B20" s="1"/>
      <c r="C20" s="2" t="s">
        <v>188</v>
      </c>
      <c r="D20" s="2" t="s">
        <v>188</v>
      </c>
      <c r="E20" s="1" t="s">
        <v>68</v>
      </c>
      <c r="F20" s="2">
        <v>11.0</v>
      </c>
      <c r="G20" s="3" t="s">
        <v>133</v>
      </c>
      <c r="H20" s="12" t="s">
        <v>133</v>
      </c>
      <c r="I20" s="3"/>
      <c r="J20" s="3"/>
      <c r="K20" s="3" t="s">
        <v>189</v>
      </c>
      <c r="L20" s="3" t="s">
        <v>658</v>
      </c>
      <c r="M20" s="3" t="s">
        <v>191</v>
      </c>
      <c r="N20" s="3" t="s">
        <v>192</v>
      </c>
      <c r="O20" s="3" t="s">
        <v>52</v>
      </c>
      <c r="P20" s="3" t="s">
        <v>193</v>
      </c>
      <c r="Q20" s="3" t="s">
        <v>193</v>
      </c>
      <c r="R20" s="3" t="s">
        <v>194</v>
      </c>
      <c r="S20" s="3" t="s">
        <v>87</v>
      </c>
      <c r="T20" s="3" t="s">
        <v>55</v>
      </c>
      <c r="U20" s="3" t="s">
        <v>63</v>
      </c>
    </row>
    <row r="21" ht="14.25" customHeight="1">
      <c r="A21" s="1" t="s">
        <v>195</v>
      </c>
      <c r="B21" s="1"/>
      <c r="C21" s="2" t="s">
        <v>188</v>
      </c>
      <c r="D21" s="2" t="s">
        <v>188</v>
      </c>
      <c r="E21" s="1" t="s">
        <v>68</v>
      </c>
      <c r="F21" s="2">
        <v>11.0</v>
      </c>
      <c r="G21" s="3" t="s">
        <v>133</v>
      </c>
      <c r="H21" s="11" t="s">
        <v>133</v>
      </c>
      <c r="I21" s="3"/>
      <c r="J21" s="3"/>
      <c r="K21" s="3" t="s">
        <v>196</v>
      </c>
      <c r="L21" s="3" t="s">
        <v>659</v>
      </c>
      <c r="M21" s="3" t="s">
        <v>198</v>
      </c>
      <c r="N21" s="3" t="s">
        <v>38</v>
      </c>
      <c r="O21" s="3" t="s">
        <v>155</v>
      </c>
      <c r="P21" s="3" t="s">
        <v>199</v>
      </c>
      <c r="Q21" s="3" t="s">
        <v>199</v>
      </c>
      <c r="R21" s="3" t="s">
        <v>148</v>
      </c>
      <c r="S21" s="3" t="s">
        <v>87</v>
      </c>
      <c r="T21" s="3" t="s">
        <v>55</v>
      </c>
      <c r="U21" s="3" t="s">
        <v>63</v>
      </c>
    </row>
    <row r="22" ht="14.25" customHeight="1">
      <c r="A22" s="1" t="s">
        <v>200</v>
      </c>
      <c r="B22" s="1"/>
      <c r="C22" s="2" t="s">
        <v>188</v>
      </c>
      <c r="D22" s="2" t="s">
        <v>188</v>
      </c>
      <c r="E22" s="1" t="s">
        <v>201</v>
      </c>
      <c r="F22" s="2">
        <v>12.0</v>
      </c>
      <c r="G22" s="3" t="s">
        <v>133</v>
      </c>
      <c r="H22" s="11" t="s">
        <v>133</v>
      </c>
      <c r="I22" s="3"/>
      <c r="J22" s="3"/>
      <c r="K22" s="3" t="s">
        <v>202</v>
      </c>
      <c r="L22" s="3" t="s">
        <v>660</v>
      </c>
      <c r="M22" s="3" t="s">
        <v>204</v>
      </c>
      <c r="N22" s="3" t="s">
        <v>41</v>
      </c>
      <c r="O22" s="3" t="s">
        <v>39</v>
      </c>
      <c r="P22" s="3" t="s">
        <v>40</v>
      </c>
      <c r="Q22" s="3" t="s">
        <v>39</v>
      </c>
      <c r="R22" s="3" t="s">
        <v>148</v>
      </c>
      <c r="S22" s="3" t="s">
        <v>54</v>
      </c>
      <c r="T22" s="3" t="s">
        <v>55</v>
      </c>
      <c r="U22" s="3" t="s">
        <v>44</v>
      </c>
    </row>
    <row r="23" ht="14.25" customHeight="1">
      <c r="A23" s="1" t="s">
        <v>205</v>
      </c>
      <c r="B23" s="1"/>
      <c r="C23" s="2" t="s">
        <v>188</v>
      </c>
      <c r="D23" s="2" t="s">
        <v>188</v>
      </c>
      <c r="E23" s="1" t="s">
        <v>68</v>
      </c>
      <c r="F23" s="2">
        <v>15.0</v>
      </c>
      <c r="G23" s="3" t="s">
        <v>133</v>
      </c>
      <c r="H23" s="11" t="s">
        <v>133</v>
      </c>
      <c r="I23" s="3"/>
      <c r="J23" s="3"/>
      <c r="K23" s="3" t="s">
        <v>206</v>
      </c>
      <c r="L23" s="3" t="s">
        <v>661</v>
      </c>
      <c r="M23" s="3" t="s">
        <v>208</v>
      </c>
      <c r="N23" s="3" t="s">
        <v>209</v>
      </c>
      <c r="O23" s="3" t="s">
        <v>210</v>
      </c>
      <c r="P23" s="3" t="s">
        <v>193</v>
      </c>
      <c r="Q23" s="3" t="s">
        <v>193</v>
      </c>
      <c r="R23" s="3" t="s">
        <v>86</v>
      </c>
      <c r="S23" s="3" t="s">
        <v>87</v>
      </c>
      <c r="T23" s="3" t="s">
        <v>211</v>
      </c>
      <c r="U23" s="3" t="s">
        <v>44</v>
      </c>
    </row>
    <row r="24" ht="14.25" customHeight="1">
      <c r="A24" s="99" t="s">
        <v>662</v>
      </c>
      <c r="B24" s="1"/>
      <c r="C24" s="2" t="s">
        <v>663</v>
      </c>
      <c r="D24" s="2" t="s">
        <v>213</v>
      </c>
      <c r="E24" s="1" t="s">
        <v>201</v>
      </c>
      <c r="F24" s="2" t="s">
        <v>664</v>
      </c>
      <c r="G24" s="3" t="s">
        <v>46</v>
      </c>
      <c r="H24" s="100"/>
      <c r="I24" s="3" t="s">
        <v>214</v>
      </c>
      <c r="J24" s="3"/>
      <c r="K24" s="3" t="s">
        <v>665</v>
      </c>
      <c r="L24" s="101"/>
      <c r="M24" s="101"/>
      <c r="N24" s="101"/>
      <c r="O24" s="101"/>
      <c r="P24" s="101"/>
      <c r="Q24" s="101"/>
      <c r="R24" s="101"/>
      <c r="S24" s="101"/>
      <c r="T24" s="101"/>
      <c r="U24" s="101"/>
    </row>
    <row r="25" ht="14.25" customHeight="1">
      <c r="A25" s="1" t="s">
        <v>226</v>
      </c>
      <c r="B25" s="1"/>
      <c r="C25" s="2" t="s">
        <v>213</v>
      </c>
      <c r="D25" s="2" t="s">
        <v>213</v>
      </c>
      <c r="E25" s="1"/>
      <c r="F25" s="2">
        <v>53.0</v>
      </c>
      <c r="G25" s="3" t="s">
        <v>57</v>
      </c>
      <c r="H25" s="15" t="s">
        <v>201</v>
      </c>
      <c r="I25" s="3"/>
      <c r="J25" s="3"/>
      <c r="K25" s="3" t="s">
        <v>227</v>
      </c>
      <c r="L25" s="3" t="s">
        <v>666</v>
      </c>
      <c r="M25" s="3" t="s">
        <v>229</v>
      </c>
      <c r="N25" s="3" t="s">
        <v>230</v>
      </c>
      <c r="O25" s="3" t="s">
        <v>44</v>
      </c>
      <c r="P25" s="3" t="s">
        <v>40</v>
      </c>
      <c r="Q25" s="3" t="s">
        <v>40</v>
      </c>
      <c r="R25" s="3" t="s">
        <v>95</v>
      </c>
      <c r="S25" s="3" t="s">
        <v>39</v>
      </c>
      <c r="T25" s="3" t="s">
        <v>231</v>
      </c>
      <c r="U25" s="3" t="s">
        <v>44</v>
      </c>
    </row>
    <row r="26" ht="14.25" customHeight="1">
      <c r="A26" s="1" t="s">
        <v>232</v>
      </c>
      <c r="B26" s="1"/>
      <c r="C26" s="2" t="s">
        <v>213</v>
      </c>
      <c r="D26" s="2" t="s">
        <v>213</v>
      </c>
      <c r="E26" s="1"/>
      <c r="F26" s="2">
        <v>53.0</v>
      </c>
      <c r="G26" s="3" t="s">
        <v>46</v>
      </c>
      <c r="H26" s="16"/>
      <c r="I26" s="3" t="s">
        <v>233</v>
      </c>
      <c r="J26" s="3" t="s">
        <v>234</v>
      </c>
      <c r="K26" s="3" t="s">
        <v>227</v>
      </c>
      <c r="L26" s="3" t="s">
        <v>667</v>
      </c>
      <c r="M26" s="3" t="s">
        <v>236</v>
      </c>
      <c r="N26" s="3" t="s">
        <v>185</v>
      </c>
      <c r="O26" s="3" t="s">
        <v>40</v>
      </c>
      <c r="P26" s="3" t="s">
        <v>40</v>
      </c>
      <c r="Q26" s="3" t="s">
        <v>39</v>
      </c>
      <c r="R26" s="3" t="s">
        <v>39</v>
      </c>
      <c r="S26" s="3" t="s">
        <v>39</v>
      </c>
      <c r="T26" s="3" t="s">
        <v>39</v>
      </c>
      <c r="U26" s="3" t="s">
        <v>39</v>
      </c>
    </row>
    <row r="27" ht="14.25" customHeight="1">
      <c r="A27" s="1" t="s">
        <v>237</v>
      </c>
      <c r="B27" s="1"/>
      <c r="C27" s="2" t="s">
        <v>213</v>
      </c>
      <c r="D27" s="2" t="s">
        <v>213</v>
      </c>
      <c r="E27" s="1"/>
      <c r="F27" s="2">
        <v>53.0</v>
      </c>
      <c r="G27" s="3" t="s">
        <v>46</v>
      </c>
      <c r="H27" s="15"/>
      <c r="I27" s="3" t="s">
        <v>238</v>
      </c>
      <c r="J27" s="3" t="s">
        <v>239</v>
      </c>
      <c r="K27" s="3" t="s">
        <v>227</v>
      </c>
      <c r="L27" s="3" t="s">
        <v>668</v>
      </c>
      <c r="M27" s="3" t="s">
        <v>241</v>
      </c>
      <c r="N27" s="3" t="s">
        <v>242</v>
      </c>
      <c r="O27" s="3" t="s">
        <v>39</v>
      </c>
      <c r="P27" s="3" t="s">
        <v>39</v>
      </c>
      <c r="Q27" s="3" t="s">
        <v>39</v>
      </c>
      <c r="R27" s="3" t="s">
        <v>243</v>
      </c>
      <c r="S27" s="3" t="s">
        <v>39</v>
      </c>
      <c r="T27" s="3" t="s">
        <v>63</v>
      </c>
      <c r="U27" s="3" t="s">
        <v>39</v>
      </c>
    </row>
    <row r="28" ht="14.25" customHeight="1">
      <c r="A28" s="17" t="s">
        <v>244</v>
      </c>
      <c r="B28" s="17"/>
      <c r="C28" s="18" t="s">
        <v>213</v>
      </c>
      <c r="D28" s="18" t="s">
        <v>213</v>
      </c>
      <c r="E28" s="17"/>
      <c r="F28" s="18">
        <v>53.0</v>
      </c>
      <c r="G28" s="19" t="s">
        <v>57</v>
      </c>
      <c r="H28" s="20" t="s">
        <v>201</v>
      </c>
      <c r="I28" s="19"/>
      <c r="J28" s="19" t="s">
        <v>245</v>
      </c>
      <c r="K28" s="19" t="s">
        <v>246</v>
      </c>
      <c r="L28" s="19" t="s">
        <v>39</v>
      </c>
      <c r="M28" s="19" t="s">
        <v>39</v>
      </c>
      <c r="N28" s="19" t="s">
        <v>39</v>
      </c>
      <c r="O28" s="19" t="s">
        <v>39</v>
      </c>
      <c r="P28" s="19" t="s">
        <v>39</v>
      </c>
      <c r="Q28" s="19" t="s">
        <v>39</v>
      </c>
      <c r="R28" s="19" t="s">
        <v>39</v>
      </c>
      <c r="S28" s="19" t="s">
        <v>39</v>
      </c>
      <c r="T28" s="19" t="s">
        <v>39</v>
      </c>
      <c r="U28" s="19" t="s">
        <v>39</v>
      </c>
      <c r="V28" s="21"/>
      <c r="W28" s="21"/>
      <c r="X28" s="21"/>
      <c r="Y28" s="21"/>
      <c r="Z28" s="21"/>
    </row>
    <row r="29" ht="14.25" customHeight="1">
      <c r="A29" s="1" t="s">
        <v>247</v>
      </c>
      <c r="B29" s="1"/>
      <c r="C29" s="2" t="s">
        <v>213</v>
      </c>
      <c r="D29" s="2" t="s">
        <v>213</v>
      </c>
      <c r="E29" s="1"/>
      <c r="F29" s="2">
        <v>54.0</v>
      </c>
      <c r="G29" s="3" t="s">
        <v>133</v>
      </c>
      <c r="H29" s="11" t="s">
        <v>133</v>
      </c>
      <c r="I29" s="3"/>
      <c r="J29" s="3" t="s">
        <v>248</v>
      </c>
      <c r="K29" s="3" t="s">
        <v>249</v>
      </c>
      <c r="L29" s="3" t="s">
        <v>669</v>
      </c>
      <c r="M29" s="3" t="s">
        <v>186</v>
      </c>
      <c r="N29" s="3" t="s">
        <v>251</v>
      </c>
      <c r="O29" s="3" t="s">
        <v>252</v>
      </c>
      <c r="P29" s="3" t="s">
        <v>224</v>
      </c>
      <c r="Q29" s="3" t="s">
        <v>252</v>
      </c>
      <c r="R29" s="3" t="s">
        <v>253</v>
      </c>
      <c r="S29" s="3" t="s">
        <v>85</v>
      </c>
      <c r="T29" s="3" t="s">
        <v>85</v>
      </c>
      <c r="U29" s="3" t="s">
        <v>39</v>
      </c>
    </row>
    <row r="30" ht="14.25" customHeight="1">
      <c r="A30" s="1" t="s">
        <v>254</v>
      </c>
      <c r="B30" s="1"/>
      <c r="C30" s="2" t="s">
        <v>255</v>
      </c>
      <c r="D30" s="2" t="s">
        <v>255</v>
      </c>
      <c r="E30" s="1"/>
      <c r="F30" s="2">
        <v>7.0</v>
      </c>
      <c r="G30" s="3" t="s">
        <v>32</v>
      </c>
      <c r="H30" s="13" t="s">
        <v>256</v>
      </c>
      <c r="I30" s="13" t="s">
        <v>257</v>
      </c>
      <c r="J30" s="3" t="s">
        <v>258</v>
      </c>
      <c r="K30" s="3" t="s">
        <v>259</v>
      </c>
      <c r="L30" s="3" t="s">
        <v>670</v>
      </c>
      <c r="M30" s="3" t="s">
        <v>261</v>
      </c>
      <c r="N30" s="3" t="s">
        <v>109</v>
      </c>
      <c r="O30" s="3" t="s">
        <v>210</v>
      </c>
      <c r="P30" s="3" t="s">
        <v>125</v>
      </c>
      <c r="Q30" s="3" t="s">
        <v>252</v>
      </c>
      <c r="R30" s="3" t="s">
        <v>262</v>
      </c>
      <c r="S30" s="3" t="s">
        <v>42</v>
      </c>
      <c r="T30" s="3" t="s">
        <v>263</v>
      </c>
      <c r="U30" s="3" t="s">
        <v>44</v>
      </c>
    </row>
    <row r="31" ht="15.0" customHeight="1">
      <c r="A31" s="2" t="s">
        <v>264</v>
      </c>
      <c r="B31" s="3"/>
      <c r="C31" s="2" t="s">
        <v>255</v>
      </c>
      <c r="D31" s="2" t="s">
        <v>255</v>
      </c>
      <c r="E31" s="3"/>
      <c r="F31" s="2">
        <v>6.0</v>
      </c>
      <c r="G31" s="3" t="s">
        <v>133</v>
      </c>
      <c r="H31" s="11" t="s">
        <v>133</v>
      </c>
      <c r="I31" s="3"/>
      <c r="J31" s="3"/>
      <c r="K31" s="3" t="s">
        <v>265</v>
      </c>
      <c r="L31" s="3" t="s">
        <v>671</v>
      </c>
      <c r="M31" s="3" t="s">
        <v>267</v>
      </c>
      <c r="N31" s="3" t="s">
        <v>109</v>
      </c>
      <c r="O31" s="3" t="s">
        <v>155</v>
      </c>
      <c r="P31" s="3" t="s">
        <v>268</v>
      </c>
      <c r="Q31" s="3" t="s">
        <v>268</v>
      </c>
      <c r="R31" s="3" t="s">
        <v>262</v>
      </c>
      <c r="S31" s="3" t="s">
        <v>85</v>
      </c>
      <c r="T31" s="3" t="s">
        <v>96</v>
      </c>
      <c r="U31" s="3" t="s">
        <v>44</v>
      </c>
    </row>
    <row r="32" ht="14.25" customHeight="1">
      <c r="A32" s="1" t="s">
        <v>269</v>
      </c>
      <c r="B32" s="1"/>
      <c r="C32" s="2" t="s">
        <v>255</v>
      </c>
      <c r="D32" s="2" t="s">
        <v>255</v>
      </c>
      <c r="E32" s="1"/>
      <c r="F32" s="2">
        <v>7.0</v>
      </c>
      <c r="G32" s="3" t="s">
        <v>133</v>
      </c>
      <c r="H32" s="11" t="s">
        <v>133</v>
      </c>
      <c r="I32" s="3"/>
      <c r="J32" s="3" t="s">
        <v>270</v>
      </c>
      <c r="K32" s="3" t="s">
        <v>48</v>
      </c>
      <c r="L32" s="3" t="s">
        <v>672</v>
      </c>
      <c r="M32" s="3" t="s">
        <v>39</v>
      </c>
      <c r="N32" s="3" t="s">
        <v>138</v>
      </c>
      <c r="O32" s="3" t="s">
        <v>40</v>
      </c>
      <c r="P32" s="3" t="s">
        <v>40</v>
      </c>
      <c r="Q32" s="3" t="s">
        <v>40</v>
      </c>
      <c r="R32" s="3" t="s">
        <v>272</v>
      </c>
      <c r="S32" s="3" t="s">
        <v>39</v>
      </c>
      <c r="T32" s="3" t="s">
        <v>273</v>
      </c>
      <c r="U32" s="3" t="s">
        <v>42</v>
      </c>
    </row>
    <row r="33" ht="14.25" customHeight="1">
      <c r="A33" s="1" t="s">
        <v>274</v>
      </c>
      <c r="B33" s="1"/>
      <c r="C33" s="2" t="s">
        <v>255</v>
      </c>
      <c r="D33" s="2" t="s">
        <v>255</v>
      </c>
      <c r="E33" s="1" t="s">
        <v>31</v>
      </c>
      <c r="F33" s="2">
        <v>7.0</v>
      </c>
      <c r="G33" s="3" t="s">
        <v>32</v>
      </c>
      <c r="H33" s="22" t="s">
        <v>256</v>
      </c>
      <c r="I33" s="23" t="s">
        <v>257</v>
      </c>
      <c r="J33" s="3"/>
      <c r="K33" s="3" t="s">
        <v>275</v>
      </c>
      <c r="L33" s="3" t="s">
        <v>673</v>
      </c>
      <c r="M33" s="3" t="s">
        <v>277</v>
      </c>
      <c r="N33" s="3" t="s">
        <v>242</v>
      </c>
      <c r="O33" s="3" t="s">
        <v>278</v>
      </c>
      <c r="P33" s="3" t="s">
        <v>193</v>
      </c>
      <c r="Q33" s="3" t="s">
        <v>193</v>
      </c>
      <c r="R33" s="3" t="s">
        <v>194</v>
      </c>
      <c r="S33" s="3" t="s">
        <v>42</v>
      </c>
      <c r="T33" s="3" t="s">
        <v>279</v>
      </c>
      <c r="U33" s="3" t="s">
        <v>85</v>
      </c>
    </row>
    <row r="34" ht="15.75" customHeight="1">
      <c r="A34" s="1" t="s">
        <v>280</v>
      </c>
      <c r="B34" s="1"/>
      <c r="C34" s="2" t="s">
        <v>255</v>
      </c>
      <c r="D34" s="2" t="s">
        <v>255</v>
      </c>
      <c r="E34" s="1" t="s">
        <v>68</v>
      </c>
      <c r="F34" s="2">
        <v>7.0</v>
      </c>
      <c r="G34" s="3" t="s">
        <v>32</v>
      </c>
      <c r="H34" s="24" t="s">
        <v>256</v>
      </c>
      <c r="I34" s="25" t="s">
        <v>257</v>
      </c>
      <c r="J34" s="26" t="s">
        <v>281</v>
      </c>
      <c r="K34" s="3" t="s">
        <v>282</v>
      </c>
      <c r="L34" s="3" t="s">
        <v>674</v>
      </c>
      <c r="M34" s="3" t="s">
        <v>284</v>
      </c>
      <c r="N34" s="3" t="s">
        <v>39</v>
      </c>
      <c r="O34" s="3" t="s">
        <v>52</v>
      </c>
      <c r="P34" s="3" t="s">
        <v>125</v>
      </c>
      <c r="Q34" s="3" t="s">
        <v>252</v>
      </c>
      <c r="R34" s="3" t="s">
        <v>285</v>
      </c>
      <c r="S34" s="3" t="s">
        <v>54</v>
      </c>
      <c r="T34" s="3" t="s">
        <v>85</v>
      </c>
      <c r="U34" s="3" t="s">
        <v>39</v>
      </c>
    </row>
    <row r="35" ht="14.25" customHeight="1">
      <c r="A35" s="1" t="s">
        <v>286</v>
      </c>
      <c r="B35" s="1"/>
      <c r="C35" s="2" t="s">
        <v>255</v>
      </c>
      <c r="D35" s="2" t="s">
        <v>255</v>
      </c>
      <c r="E35" s="1" t="s">
        <v>68</v>
      </c>
      <c r="F35" s="2">
        <v>7.0</v>
      </c>
      <c r="G35" s="3" t="s">
        <v>32</v>
      </c>
      <c r="H35" s="24" t="s">
        <v>256</v>
      </c>
      <c r="I35" s="25" t="s">
        <v>257</v>
      </c>
      <c r="J35" s="26" t="s">
        <v>287</v>
      </c>
      <c r="K35" s="3" t="s">
        <v>675</v>
      </c>
      <c r="L35" s="3" t="s">
        <v>676</v>
      </c>
      <c r="M35" s="3" t="s">
        <v>294</v>
      </c>
      <c r="N35" s="3" t="s">
        <v>41</v>
      </c>
      <c r="O35" s="3" t="s">
        <v>52</v>
      </c>
      <c r="P35" s="3" t="s">
        <v>289</v>
      </c>
      <c r="Q35" s="3" t="s">
        <v>289</v>
      </c>
      <c r="R35" s="3" t="s">
        <v>296</v>
      </c>
      <c r="S35" s="3" t="s">
        <v>75</v>
      </c>
      <c r="T35" s="3" t="s">
        <v>55</v>
      </c>
      <c r="U35" s="3" t="s">
        <v>44</v>
      </c>
    </row>
    <row r="36" ht="14.25" customHeight="1">
      <c r="A36" s="1" t="s">
        <v>297</v>
      </c>
      <c r="B36" s="1"/>
      <c r="C36" s="2" t="s">
        <v>255</v>
      </c>
      <c r="D36" s="2" t="s">
        <v>255</v>
      </c>
      <c r="E36" s="1" t="s">
        <v>68</v>
      </c>
      <c r="F36" s="2">
        <v>7.0</v>
      </c>
      <c r="G36" s="3" t="s">
        <v>32</v>
      </c>
      <c r="H36" s="25" t="s">
        <v>256</v>
      </c>
      <c r="I36" s="25" t="s">
        <v>257</v>
      </c>
      <c r="J36" s="3" t="s">
        <v>258</v>
      </c>
      <c r="K36" s="3" t="s">
        <v>677</v>
      </c>
      <c r="L36" s="3" t="s">
        <v>678</v>
      </c>
      <c r="M36" s="3" t="s">
        <v>299</v>
      </c>
      <c r="N36" s="3" t="s">
        <v>300</v>
      </c>
      <c r="O36" s="3" t="s">
        <v>301</v>
      </c>
      <c r="P36" s="3" t="s">
        <v>268</v>
      </c>
      <c r="Q36" s="3" t="s">
        <v>268</v>
      </c>
      <c r="R36" s="3" t="s">
        <v>148</v>
      </c>
      <c r="S36" s="3" t="s">
        <v>87</v>
      </c>
      <c r="T36" s="3" t="s">
        <v>88</v>
      </c>
      <c r="U36" s="3" t="s">
        <v>44</v>
      </c>
    </row>
    <row r="37" ht="14.25" customHeight="1">
      <c r="A37" s="1" t="s">
        <v>302</v>
      </c>
      <c r="B37" s="1"/>
      <c r="C37" s="2"/>
      <c r="D37" s="2"/>
      <c r="E37" s="1"/>
      <c r="F37" s="2"/>
      <c r="G37" s="3"/>
      <c r="H37" s="25"/>
      <c r="I37" s="25"/>
      <c r="J37" s="3"/>
      <c r="K37" s="3"/>
      <c r="L37" s="3" t="s">
        <v>679</v>
      </c>
      <c r="M37" s="3" t="s">
        <v>299</v>
      </c>
      <c r="N37" s="3" t="s">
        <v>285</v>
      </c>
      <c r="O37" s="3" t="s">
        <v>210</v>
      </c>
      <c r="P37" s="3" t="s">
        <v>307</v>
      </c>
      <c r="Q37" s="3" t="s">
        <v>155</v>
      </c>
      <c r="R37" s="3" t="s">
        <v>194</v>
      </c>
      <c r="S37" s="3" t="s">
        <v>87</v>
      </c>
      <c r="T37" s="3" t="s">
        <v>85</v>
      </c>
      <c r="U37" s="3" t="s">
        <v>44</v>
      </c>
    </row>
    <row r="38" ht="14.25" customHeight="1">
      <c r="A38" s="1" t="s">
        <v>308</v>
      </c>
      <c r="B38" s="1"/>
      <c r="C38" s="2" t="s">
        <v>255</v>
      </c>
      <c r="D38" s="2" t="s">
        <v>255</v>
      </c>
      <c r="E38" s="1"/>
      <c r="F38" s="2">
        <v>7.0</v>
      </c>
      <c r="G38" s="3" t="s">
        <v>32</v>
      </c>
      <c r="H38" s="24" t="s">
        <v>256</v>
      </c>
      <c r="I38" s="25" t="s">
        <v>257</v>
      </c>
      <c r="J38" s="3" t="s">
        <v>258</v>
      </c>
      <c r="K38" s="3" t="s">
        <v>282</v>
      </c>
      <c r="L38" s="3" t="s">
        <v>680</v>
      </c>
      <c r="M38" s="3" t="s">
        <v>310</v>
      </c>
      <c r="N38" s="3" t="s">
        <v>109</v>
      </c>
      <c r="O38" s="3" t="s">
        <v>52</v>
      </c>
      <c r="P38" s="3" t="s">
        <v>224</v>
      </c>
      <c r="Q38" s="3" t="s">
        <v>252</v>
      </c>
      <c r="R38" s="3" t="s">
        <v>262</v>
      </c>
      <c r="S38" s="3" t="s">
        <v>85</v>
      </c>
      <c r="T38" s="3" t="s">
        <v>85</v>
      </c>
      <c r="U38" s="3" t="s">
        <v>44</v>
      </c>
    </row>
    <row r="39" ht="14.25" customHeight="1">
      <c r="A39" s="1" t="s">
        <v>311</v>
      </c>
      <c r="B39" s="1"/>
      <c r="C39" s="2" t="s">
        <v>255</v>
      </c>
      <c r="D39" s="2" t="s">
        <v>255</v>
      </c>
      <c r="E39" s="1" t="s">
        <v>68</v>
      </c>
      <c r="F39" s="2">
        <v>7.0</v>
      </c>
      <c r="G39" s="3" t="s">
        <v>32</v>
      </c>
      <c r="H39" s="24" t="s">
        <v>256</v>
      </c>
      <c r="I39" s="25" t="s">
        <v>257</v>
      </c>
      <c r="J39" s="3" t="s">
        <v>258</v>
      </c>
      <c r="K39" s="3" t="s">
        <v>282</v>
      </c>
      <c r="L39" s="3" t="s">
        <v>681</v>
      </c>
      <c r="M39" s="3" t="s">
        <v>313</v>
      </c>
      <c r="N39" s="3" t="s">
        <v>314</v>
      </c>
      <c r="O39" s="3" t="s">
        <v>52</v>
      </c>
      <c r="P39" s="3" t="s">
        <v>39</v>
      </c>
      <c r="Q39" s="3" t="s">
        <v>252</v>
      </c>
      <c r="R39" s="3" t="s">
        <v>38</v>
      </c>
      <c r="S39" s="3" t="s">
        <v>54</v>
      </c>
      <c r="T39" s="3" t="s">
        <v>63</v>
      </c>
      <c r="U39" s="3" t="s">
        <v>44</v>
      </c>
    </row>
    <row r="40" ht="14.25" customHeight="1">
      <c r="A40" s="1" t="s">
        <v>315</v>
      </c>
      <c r="B40" s="1"/>
      <c r="C40" s="2" t="s">
        <v>255</v>
      </c>
      <c r="D40" s="2" t="s">
        <v>255</v>
      </c>
      <c r="E40" s="1" t="s">
        <v>31</v>
      </c>
      <c r="F40" s="2">
        <v>7.0</v>
      </c>
      <c r="G40" s="3" t="s">
        <v>32</v>
      </c>
      <c r="H40" s="28" t="s">
        <v>256</v>
      </c>
      <c r="I40" s="14" t="s">
        <v>257</v>
      </c>
      <c r="J40" s="3" t="s">
        <v>258</v>
      </c>
      <c r="K40" s="3" t="s">
        <v>282</v>
      </c>
      <c r="L40" s="3" t="s">
        <v>682</v>
      </c>
      <c r="M40" s="3" t="s">
        <v>317</v>
      </c>
      <c r="N40" s="3" t="s">
        <v>109</v>
      </c>
      <c r="O40" s="3" t="s">
        <v>52</v>
      </c>
      <c r="P40" s="3" t="s">
        <v>39</v>
      </c>
      <c r="Q40" s="3" t="s">
        <v>252</v>
      </c>
      <c r="R40" s="3" t="s">
        <v>314</v>
      </c>
      <c r="S40" s="3" t="s">
        <v>54</v>
      </c>
      <c r="T40" s="3" t="s">
        <v>85</v>
      </c>
      <c r="U40" s="3" t="s">
        <v>39</v>
      </c>
    </row>
    <row r="41" ht="14.25" customHeight="1">
      <c r="A41" s="1" t="s">
        <v>318</v>
      </c>
      <c r="B41" s="1"/>
      <c r="C41" s="2" t="s">
        <v>255</v>
      </c>
      <c r="D41" s="2" t="s">
        <v>255</v>
      </c>
      <c r="E41" s="1"/>
      <c r="F41" s="2">
        <v>7.0</v>
      </c>
      <c r="G41" s="3" t="s">
        <v>46</v>
      </c>
      <c r="H41" s="29" t="s">
        <v>319</v>
      </c>
      <c r="I41" s="30" t="s">
        <v>320</v>
      </c>
      <c r="J41" s="3" t="s">
        <v>321</v>
      </c>
      <c r="K41" s="3" t="s">
        <v>322</v>
      </c>
      <c r="L41" s="3" t="s">
        <v>683</v>
      </c>
      <c r="M41" s="3" t="s">
        <v>324</v>
      </c>
      <c r="N41" s="3" t="s">
        <v>138</v>
      </c>
      <c r="O41" s="3" t="s">
        <v>40</v>
      </c>
      <c r="P41" s="3" t="s">
        <v>325</v>
      </c>
      <c r="Q41" s="3" t="s">
        <v>147</v>
      </c>
      <c r="R41" s="3" t="s">
        <v>74</v>
      </c>
      <c r="S41" s="3" t="s">
        <v>87</v>
      </c>
      <c r="T41" s="3" t="s">
        <v>139</v>
      </c>
      <c r="U41" s="3" t="s">
        <v>63</v>
      </c>
    </row>
    <row r="42" ht="14.25" customHeight="1">
      <c r="A42" s="17" t="s">
        <v>326</v>
      </c>
      <c r="B42" s="17"/>
      <c r="C42" s="18" t="s">
        <v>255</v>
      </c>
      <c r="D42" s="18" t="s">
        <v>255</v>
      </c>
      <c r="E42" s="17" t="s">
        <v>68</v>
      </c>
      <c r="F42" s="18" t="s">
        <v>327</v>
      </c>
      <c r="G42" s="19" t="s">
        <v>32</v>
      </c>
      <c r="H42" s="31" t="s">
        <v>328</v>
      </c>
      <c r="I42" s="31" t="s">
        <v>257</v>
      </c>
      <c r="J42" s="19" t="s">
        <v>234</v>
      </c>
      <c r="K42" s="19" t="s">
        <v>329</v>
      </c>
      <c r="L42" s="19" t="s">
        <v>39</v>
      </c>
      <c r="M42" s="19"/>
      <c r="N42" s="19"/>
      <c r="O42" s="19"/>
      <c r="P42" s="19"/>
      <c r="Q42" s="19"/>
      <c r="R42" s="19"/>
      <c r="S42" s="19"/>
      <c r="T42" s="19"/>
      <c r="U42" s="19"/>
      <c r="V42" s="21"/>
      <c r="W42" s="21"/>
      <c r="X42" s="21"/>
      <c r="Y42" s="21"/>
      <c r="Z42" s="21"/>
    </row>
    <row r="43" ht="14.25" customHeight="1">
      <c r="A43" s="1" t="s">
        <v>330</v>
      </c>
      <c r="B43" s="1"/>
      <c r="C43" s="2" t="s">
        <v>255</v>
      </c>
      <c r="D43" s="2" t="s">
        <v>255</v>
      </c>
      <c r="E43" s="1"/>
      <c r="F43" s="2" t="s">
        <v>331</v>
      </c>
      <c r="G43" s="3" t="s">
        <v>32</v>
      </c>
      <c r="H43" s="25" t="s">
        <v>328</v>
      </c>
      <c r="I43" s="25" t="s">
        <v>257</v>
      </c>
      <c r="J43" s="3" t="s">
        <v>332</v>
      </c>
      <c r="K43" s="3" t="s">
        <v>333</v>
      </c>
      <c r="L43" s="3" t="s">
        <v>684</v>
      </c>
      <c r="M43" s="3" t="s">
        <v>208</v>
      </c>
      <c r="N43" s="3" t="s">
        <v>335</v>
      </c>
      <c r="O43" s="3" t="s">
        <v>336</v>
      </c>
      <c r="P43" s="3" t="s">
        <v>336</v>
      </c>
      <c r="Q43" s="3" t="s">
        <v>337</v>
      </c>
      <c r="R43" s="3" t="s">
        <v>39</v>
      </c>
      <c r="S43" s="3" t="s">
        <v>39</v>
      </c>
      <c r="T43" s="3" t="s">
        <v>338</v>
      </c>
      <c r="U43" s="3" t="s">
        <v>39</v>
      </c>
      <c r="V43" s="32"/>
      <c r="W43" s="32"/>
      <c r="X43" s="32"/>
      <c r="Y43" s="32"/>
      <c r="Z43" s="32"/>
    </row>
    <row r="44" ht="14.25" customHeight="1">
      <c r="A44" s="1" t="s">
        <v>339</v>
      </c>
      <c r="B44" s="1"/>
      <c r="C44" s="2" t="s">
        <v>255</v>
      </c>
      <c r="D44" s="2" t="s">
        <v>255</v>
      </c>
      <c r="E44" s="1" t="s">
        <v>31</v>
      </c>
      <c r="F44" s="2">
        <v>9.0</v>
      </c>
      <c r="G44" s="3" t="s">
        <v>32</v>
      </c>
      <c r="H44" s="25" t="s">
        <v>328</v>
      </c>
      <c r="I44" s="25" t="s">
        <v>257</v>
      </c>
      <c r="J44" s="3" t="s">
        <v>685</v>
      </c>
      <c r="K44" s="3" t="s">
        <v>686</v>
      </c>
      <c r="L44" s="3" t="s">
        <v>687</v>
      </c>
      <c r="M44" s="3" t="s">
        <v>208</v>
      </c>
      <c r="N44" s="3" t="s">
        <v>343</v>
      </c>
      <c r="O44" s="3" t="s">
        <v>39</v>
      </c>
      <c r="P44" s="3" t="s">
        <v>39</v>
      </c>
      <c r="Q44" s="3" t="s">
        <v>39</v>
      </c>
      <c r="R44" s="3" t="s">
        <v>93</v>
      </c>
      <c r="S44" s="3" t="s">
        <v>54</v>
      </c>
      <c r="T44" s="3" t="s">
        <v>273</v>
      </c>
      <c r="U44" s="3" t="s">
        <v>63</v>
      </c>
      <c r="V44" s="32"/>
      <c r="W44" s="32"/>
      <c r="X44" s="32"/>
      <c r="Y44" s="32"/>
      <c r="Z44" s="32"/>
    </row>
    <row r="45" ht="14.25" customHeight="1">
      <c r="A45" s="1" t="s">
        <v>344</v>
      </c>
      <c r="B45" s="1"/>
      <c r="C45" s="2" t="s">
        <v>255</v>
      </c>
      <c r="D45" s="2" t="s">
        <v>255</v>
      </c>
      <c r="E45" s="1"/>
      <c r="F45" s="2">
        <v>9.0</v>
      </c>
      <c r="G45" s="3" t="s">
        <v>32</v>
      </c>
      <c r="H45" s="33" t="s">
        <v>328</v>
      </c>
      <c r="I45" s="25" t="s">
        <v>257</v>
      </c>
      <c r="J45" s="3" t="s">
        <v>345</v>
      </c>
      <c r="K45" s="3" t="s">
        <v>346</v>
      </c>
      <c r="L45" s="3" t="s">
        <v>688</v>
      </c>
      <c r="M45" s="3" t="s">
        <v>348</v>
      </c>
      <c r="N45" s="3" t="s">
        <v>94</v>
      </c>
      <c r="O45" s="3" t="s">
        <v>210</v>
      </c>
      <c r="P45" s="3" t="s">
        <v>295</v>
      </c>
      <c r="Q45" s="3" t="s">
        <v>147</v>
      </c>
      <c r="R45" s="3" t="s">
        <v>349</v>
      </c>
      <c r="S45" s="3" t="s">
        <v>87</v>
      </c>
      <c r="T45" s="3" t="s">
        <v>350</v>
      </c>
      <c r="U45" s="3" t="s">
        <v>63</v>
      </c>
    </row>
    <row r="46" ht="14.25" customHeight="1">
      <c r="A46" s="1" t="s">
        <v>351</v>
      </c>
      <c r="B46" s="1"/>
      <c r="C46" s="2" t="s">
        <v>255</v>
      </c>
      <c r="D46" s="2" t="s">
        <v>255</v>
      </c>
      <c r="E46" s="1" t="s">
        <v>68</v>
      </c>
      <c r="F46" s="2" t="s">
        <v>352</v>
      </c>
      <c r="G46" s="3" t="s">
        <v>32</v>
      </c>
      <c r="H46" s="33" t="s">
        <v>328</v>
      </c>
      <c r="I46" s="25" t="s">
        <v>257</v>
      </c>
      <c r="J46" s="3" t="s">
        <v>353</v>
      </c>
      <c r="K46" s="3" t="s">
        <v>354</v>
      </c>
      <c r="L46" s="3" t="s">
        <v>689</v>
      </c>
      <c r="M46" s="3" t="s">
        <v>356</v>
      </c>
      <c r="N46" s="3" t="s">
        <v>357</v>
      </c>
      <c r="O46" s="3" t="s">
        <v>39</v>
      </c>
      <c r="P46" s="3" t="s">
        <v>307</v>
      </c>
      <c r="Q46" s="3" t="s">
        <v>252</v>
      </c>
      <c r="R46" s="3" t="s">
        <v>358</v>
      </c>
      <c r="S46" s="3" t="s">
        <v>54</v>
      </c>
      <c r="T46" s="3" t="s">
        <v>55</v>
      </c>
      <c r="U46" s="3" t="s">
        <v>63</v>
      </c>
    </row>
    <row r="47" ht="14.25" customHeight="1">
      <c r="A47" s="1" t="s">
        <v>359</v>
      </c>
      <c r="B47" s="1"/>
      <c r="C47" s="2" t="s">
        <v>255</v>
      </c>
      <c r="D47" s="2" t="s">
        <v>255</v>
      </c>
      <c r="E47" s="1" t="s">
        <v>31</v>
      </c>
      <c r="F47" s="2" t="s">
        <v>352</v>
      </c>
      <c r="G47" s="3" t="s">
        <v>32</v>
      </c>
      <c r="H47" s="33" t="s">
        <v>328</v>
      </c>
      <c r="I47" s="25" t="s">
        <v>257</v>
      </c>
      <c r="J47" s="3" t="s">
        <v>332</v>
      </c>
      <c r="K47" s="3" t="s">
        <v>333</v>
      </c>
      <c r="L47" s="3" t="s">
        <v>690</v>
      </c>
      <c r="M47" s="3" t="s">
        <v>361</v>
      </c>
      <c r="N47" s="3" t="s">
        <v>230</v>
      </c>
      <c r="O47" s="3" t="s">
        <v>52</v>
      </c>
      <c r="P47" s="3" t="s">
        <v>125</v>
      </c>
      <c r="Q47" s="3" t="s">
        <v>147</v>
      </c>
      <c r="R47" s="3" t="s">
        <v>159</v>
      </c>
      <c r="S47" s="3" t="s">
        <v>75</v>
      </c>
      <c r="T47" s="3" t="s">
        <v>63</v>
      </c>
      <c r="U47" s="3" t="s">
        <v>44</v>
      </c>
    </row>
    <row r="48" ht="14.25" customHeight="1">
      <c r="A48" s="1" t="s">
        <v>362</v>
      </c>
      <c r="B48" s="1"/>
      <c r="C48" s="2" t="s">
        <v>255</v>
      </c>
      <c r="D48" s="2" t="s">
        <v>255</v>
      </c>
      <c r="E48" s="1"/>
      <c r="F48" s="2">
        <v>9.0</v>
      </c>
      <c r="G48" s="3" t="s">
        <v>32</v>
      </c>
      <c r="H48" s="33" t="s">
        <v>328</v>
      </c>
      <c r="I48" s="25" t="s">
        <v>257</v>
      </c>
      <c r="J48" s="3" t="s">
        <v>363</v>
      </c>
      <c r="K48" s="3" t="s">
        <v>333</v>
      </c>
      <c r="L48" s="3" t="s">
        <v>691</v>
      </c>
      <c r="M48" s="3" t="s">
        <v>62</v>
      </c>
      <c r="N48" s="3" t="s">
        <v>365</v>
      </c>
      <c r="O48" s="3" t="s">
        <v>52</v>
      </c>
      <c r="P48" s="3" t="s">
        <v>307</v>
      </c>
      <c r="Q48" s="3" t="s">
        <v>252</v>
      </c>
      <c r="R48" s="3" t="s">
        <v>65</v>
      </c>
      <c r="S48" s="3" t="s">
        <v>54</v>
      </c>
      <c r="T48" s="3" t="s">
        <v>55</v>
      </c>
      <c r="U48" s="3" t="s">
        <v>44</v>
      </c>
    </row>
    <row r="49" ht="14.25" customHeight="1">
      <c r="A49" s="1" t="s">
        <v>366</v>
      </c>
      <c r="B49" s="1"/>
      <c r="C49" s="2" t="s">
        <v>255</v>
      </c>
      <c r="D49" s="2" t="s">
        <v>255</v>
      </c>
      <c r="E49" s="1"/>
      <c r="F49" s="2" t="s">
        <v>352</v>
      </c>
      <c r="G49" s="3" t="s">
        <v>32</v>
      </c>
      <c r="H49" s="34" t="s">
        <v>328</v>
      </c>
      <c r="I49" s="14" t="s">
        <v>257</v>
      </c>
      <c r="J49" s="3" t="s">
        <v>367</v>
      </c>
      <c r="K49" s="3" t="s">
        <v>333</v>
      </c>
      <c r="L49" s="3" t="s">
        <v>692</v>
      </c>
      <c r="M49" s="3" t="s">
        <v>369</v>
      </c>
      <c r="N49" s="3" t="s">
        <v>124</v>
      </c>
      <c r="O49" s="3" t="s">
        <v>147</v>
      </c>
      <c r="P49" s="3" t="s">
        <v>325</v>
      </c>
      <c r="Q49" s="3" t="s">
        <v>147</v>
      </c>
      <c r="R49" s="3" t="s">
        <v>358</v>
      </c>
      <c r="S49" s="3" t="s">
        <v>54</v>
      </c>
      <c r="T49" s="3" t="s">
        <v>55</v>
      </c>
      <c r="U49" s="3" t="s">
        <v>63</v>
      </c>
    </row>
    <row r="50" ht="14.25" customHeight="1">
      <c r="A50" s="1" t="s">
        <v>370</v>
      </c>
      <c r="B50" s="1"/>
      <c r="C50" s="2" t="s">
        <v>255</v>
      </c>
      <c r="D50" s="2" t="s">
        <v>255</v>
      </c>
      <c r="E50" s="1"/>
      <c r="F50" s="2">
        <v>10.0</v>
      </c>
      <c r="G50" s="3" t="s">
        <v>133</v>
      </c>
      <c r="H50" s="11" t="s">
        <v>133</v>
      </c>
      <c r="I50" s="3"/>
      <c r="J50" s="3" t="s">
        <v>371</v>
      </c>
      <c r="K50" s="3" t="s">
        <v>372</v>
      </c>
      <c r="L50" s="3" t="s">
        <v>693</v>
      </c>
      <c r="M50" s="3" t="s">
        <v>374</v>
      </c>
      <c r="N50" s="3" t="s">
        <v>375</v>
      </c>
      <c r="O50" s="3" t="s">
        <v>252</v>
      </c>
      <c r="P50" s="3" t="s">
        <v>307</v>
      </c>
      <c r="Q50" s="3" t="s">
        <v>252</v>
      </c>
      <c r="R50" s="3" t="s">
        <v>376</v>
      </c>
      <c r="S50" s="3" t="s">
        <v>75</v>
      </c>
      <c r="T50" s="3" t="s">
        <v>40</v>
      </c>
      <c r="U50" s="3" t="s">
        <v>39</v>
      </c>
    </row>
    <row r="51" ht="14.25" customHeight="1">
      <c r="A51" s="1" t="s">
        <v>377</v>
      </c>
      <c r="B51" s="1"/>
      <c r="C51" s="2" t="s">
        <v>255</v>
      </c>
      <c r="D51" s="2" t="s">
        <v>255</v>
      </c>
      <c r="E51" s="1"/>
      <c r="F51" s="2">
        <v>10.0</v>
      </c>
      <c r="G51" s="3" t="s">
        <v>46</v>
      </c>
      <c r="H51" s="35" t="s">
        <v>319</v>
      </c>
      <c r="I51" s="3" t="s">
        <v>378</v>
      </c>
      <c r="J51" s="3"/>
      <c r="K51" s="3" t="s">
        <v>379</v>
      </c>
      <c r="L51" s="3" t="s">
        <v>694</v>
      </c>
      <c r="M51" s="3" t="s">
        <v>117</v>
      </c>
      <c r="N51" s="3" t="s">
        <v>118</v>
      </c>
      <c r="O51" s="3" t="s">
        <v>155</v>
      </c>
      <c r="P51" s="3" t="s">
        <v>381</v>
      </c>
      <c r="Q51" s="3" t="s">
        <v>155</v>
      </c>
      <c r="R51" s="3" t="s">
        <v>148</v>
      </c>
      <c r="S51" s="3" t="s">
        <v>44</v>
      </c>
      <c r="T51" s="3" t="s">
        <v>382</v>
      </c>
      <c r="U51" s="3" t="s">
        <v>44</v>
      </c>
    </row>
    <row r="52" ht="14.25" customHeight="1">
      <c r="A52" s="1" t="s">
        <v>383</v>
      </c>
      <c r="B52" s="1"/>
      <c r="C52" s="2" t="s">
        <v>255</v>
      </c>
      <c r="D52" s="2" t="s">
        <v>255</v>
      </c>
      <c r="E52" s="1" t="s">
        <v>68</v>
      </c>
      <c r="F52" s="2" t="s">
        <v>384</v>
      </c>
      <c r="G52" s="3" t="s">
        <v>46</v>
      </c>
      <c r="H52" s="102" t="s">
        <v>319</v>
      </c>
      <c r="I52" s="3" t="s">
        <v>385</v>
      </c>
      <c r="J52" s="3"/>
      <c r="K52" s="3" t="s">
        <v>386</v>
      </c>
      <c r="L52" s="3" t="s">
        <v>695</v>
      </c>
      <c r="M52" s="3" t="s">
        <v>388</v>
      </c>
      <c r="N52" s="3" t="s">
        <v>39</v>
      </c>
      <c r="O52" s="3" t="s">
        <v>210</v>
      </c>
      <c r="P52" s="3" t="s">
        <v>325</v>
      </c>
      <c r="Q52" s="3" t="s">
        <v>210</v>
      </c>
      <c r="R52" s="3" t="s">
        <v>349</v>
      </c>
      <c r="S52" s="3" t="s">
        <v>54</v>
      </c>
      <c r="T52" s="3" t="s">
        <v>39</v>
      </c>
      <c r="U52" s="3" t="s">
        <v>39</v>
      </c>
    </row>
    <row r="53" ht="14.25" customHeight="1">
      <c r="A53" s="1" t="s">
        <v>401</v>
      </c>
      <c r="B53" s="1"/>
      <c r="C53" s="2" t="s">
        <v>696</v>
      </c>
      <c r="D53" s="2" t="s">
        <v>394</v>
      </c>
      <c r="E53" s="1"/>
      <c r="F53" s="2" t="s">
        <v>697</v>
      </c>
      <c r="G53" s="3" t="s">
        <v>32</v>
      </c>
      <c r="H53" s="23" t="s">
        <v>395</v>
      </c>
      <c r="I53" s="61" t="s">
        <v>396</v>
      </c>
      <c r="J53" s="3"/>
      <c r="K53" s="3" t="s">
        <v>698</v>
      </c>
      <c r="L53" s="3" t="s">
        <v>699</v>
      </c>
      <c r="M53" s="3" t="s">
        <v>392</v>
      </c>
      <c r="N53" s="3" t="s">
        <v>118</v>
      </c>
      <c r="O53" s="3" t="s">
        <v>39</v>
      </c>
      <c r="P53" s="3" t="s">
        <v>325</v>
      </c>
      <c r="Q53" s="3" t="s">
        <v>325</v>
      </c>
      <c r="R53" s="3" t="s">
        <v>103</v>
      </c>
      <c r="S53" s="3" t="s">
        <v>42</v>
      </c>
      <c r="T53" s="3" t="s">
        <v>211</v>
      </c>
      <c r="U53" s="3" t="s">
        <v>85</v>
      </c>
      <c r="V53" s="32"/>
      <c r="W53" s="32"/>
      <c r="X53" s="32"/>
      <c r="Y53" s="32"/>
      <c r="Z53" s="32"/>
    </row>
    <row r="54" ht="14.25" customHeight="1">
      <c r="A54" s="1" t="s">
        <v>396</v>
      </c>
      <c r="B54" s="1"/>
      <c r="C54" s="2" t="s">
        <v>394</v>
      </c>
      <c r="D54" s="2" t="s">
        <v>394</v>
      </c>
      <c r="E54" s="1" t="s">
        <v>31</v>
      </c>
      <c r="F54" s="2" t="s">
        <v>400</v>
      </c>
      <c r="G54" s="3" t="s">
        <v>32</v>
      </c>
      <c r="H54" s="103" t="s">
        <v>395</v>
      </c>
      <c r="I54" s="61" t="s">
        <v>401</v>
      </c>
      <c r="J54" s="3" t="s">
        <v>402</v>
      </c>
      <c r="K54" s="3" t="s">
        <v>700</v>
      </c>
      <c r="L54" s="3" t="s">
        <v>701</v>
      </c>
      <c r="M54" s="3" t="s">
        <v>410</v>
      </c>
      <c r="N54" s="3" t="s">
        <v>94</v>
      </c>
      <c r="O54" s="3" t="s">
        <v>147</v>
      </c>
      <c r="P54" s="3" t="s">
        <v>295</v>
      </c>
      <c r="Q54" s="3" t="s">
        <v>147</v>
      </c>
      <c r="R54" s="3" t="s">
        <v>495</v>
      </c>
      <c r="S54" s="3" t="s">
        <v>75</v>
      </c>
      <c r="T54" s="3" t="s">
        <v>96</v>
      </c>
      <c r="U54" s="3" t="s">
        <v>85</v>
      </c>
    </row>
    <row r="55" ht="14.25" customHeight="1">
      <c r="A55" s="1" t="s">
        <v>405</v>
      </c>
      <c r="B55" s="1"/>
      <c r="C55" s="2" t="s">
        <v>394</v>
      </c>
      <c r="D55" s="2" t="s">
        <v>394</v>
      </c>
      <c r="E55" s="1"/>
      <c r="F55" s="2">
        <v>17.0</v>
      </c>
      <c r="G55" s="3" t="s">
        <v>32</v>
      </c>
      <c r="H55" s="62" t="s">
        <v>395</v>
      </c>
      <c r="I55" s="3" t="s">
        <v>406</v>
      </c>
      <c r="J55" s="3" t="s">
        <v>407</v>
      </c>
      <c r="K55" s="3" t="s">
        <v>408</v>
      </c>
      <c r="L55" s="3" t="s">
        <v>702</v>
      </c>
      <c r="M55" s="3" t="s">
        <v>410</v>
      </c>
      <c r="N55" s="3" t="s">
        <v>94</v>
      </c>
      <c r="O55" s="3" t="s">
        <v>39</v>
      </c>
      <c r="P55" s="3" t="s">
        <v>39</v>
      </c>
      <c r="Q55" s="3" t="s">
        <v>39</v>
      </c>
      <c r="R55" s="3" t="s">
        <v>349</v>
      </c>
      <c r="S55" s="3" t="s">
        <v>75</v>
      </c>
      <c r="T55" s="3" t="s">
        <v>85</v>
      </c>
      <c r="U55" s="3" t="s">
        <v>44</v>
      </c>
    </row>
    <row r="56" ht="14.25" customHeight="1">
      <c r="A56" s="1" t="s">
        <v>411</v>
      </c>
      <c r="B56" s="1"/>
      <c r="C56" s="2" t="s">
        <v>394</v>
      </c>
      <c r="D56" s="2" t="s">
        <v>394</v>
      </c>
      <c r="E56" s="1"/>
      <c r="F56" s="2">
        <v>17.0</v>
      </c>
      <c r="G56" s="3" t="s">
        <v>57</v>
      </c>
      <c r="H56" s="62" t="s">
        <v>201</v>
      </c>
      <c r="I56" s="3"/>
      <c r="J56" s="3"/>
      <c r="K56" s="3" t="s">
        <v>412</v>
      </c>
      <c r="L56" s="3" t="s">
        <v>703</v>
      </c>
      <c r="M56" s="3" t="s">
        <v>414</v>
      </c>
      <c r="N56" s="3" t="s">
        <v>415</v>
      </c>
      <c r="O56" s="3" t="s">
        <v>147</v>
      </c>
      <c r="P56" s="3" t="s">
        <v>295</v>
      </c>
      <c r="Q56" s="3" t="s">
        <v>147</v>
      </c>
      <c r="R56" s="3" t="s">
        <v>95</v>
      </c>
      <c r="S56" s="3" t="s">
        <v>44</v>
      </c>
      <c r="T56" s="3" t="s">
        <v>211</v>
      </c>
      <c r="U56" s="3" t="s">
        <v>44</v>
      </c>
    </row>
    <row r="57" ht="14.25" customHeight="1">
      <c r="A57" s="1" t="s">
        <v>416</v>
      </c>
      <c r="B57" s="1"/>
      <c r="C57" s="2" t="s">
        <v>394</v>
      </c>
      <c r="D57" s="2" t="s">
        <v>394</v>
      </c>
      <c r="E57" s="1" t="s">
        <v>68</v>
      </c>
      <c r="F57" s="2">
        <v>17.0</v>
      </c>
      <c r="G57" s="3" t="s">
        <v>32</v>
      </c>
      <c r="H57" s="63" t="s">
        <v>395</v>
      </c>
      <c r="I57" s="61" t="s">
        <v>417</v>
      </c>
      <c r="J57" s="3" t="s">
        <v>418</v>
      </c>
      <c r="K57" s="3" t="s">
        <v>206</v>
      </c>
      <c r="L57" s="3" t="s">
        <v>704</v>
      </c>
      <c r="M57" s="3" t="s">
        <v>414</v>
      </c>
      <c r="N57" s="3" t="s">
        <v>94</v>
      </c>
      <c r="O57" s="3" t="s">
        <v>210</v>
      </c>
      <c r="P57" s="3" t="s">
        <v>325</v>
      </c>
      <c r="Q57" s="3" t="s">
        <v>147</v>
      </c>
      <c r="R57" s="3" t="s">
        <v>410</v>
      </c>
      <c r="S57" s="3" t="s">
        <v>75</v>
      </c>
      <c r="T57" s="3" t="s">
        <v>39</v>
      </c>
      <c r="U57" s="3" t="s">
        <v>39</v>
      </c>
    </row>
    <row r="58" ht="14.25" customHeight="1">
      <c r="A58" s="1" t="s">
        <v>420</v>
      </c>
      <c r="B58" s="1"/>
      <c r="C58" s="2" t="s">
        <v>394</v>
      </c>
      <c r="D58" s="2" t="s">
        <v>394</v>
      </c>
      <c r="E58" s="1" t="s">
        <v>68</v>
      </c>
      <c r="F58" s="2">
        <v>17.0</v>
      </c>
      <c r="G58" s="3" t="s">
        <v>32</v>
      </c>
      <c r="H58" s="62" t="s">
        <v>395</v>
      </c>
      <c r="I58" s="61" t="s">
        <v>421</v>
      </c>
      <c r="J58" s="3"/>
      <c r="K58" s="3" t="s">
        <v>422</v>
      </c>
      <c r="L58" s="3" t="s">
        <v>705</v>
      </c>
      <c r="M58" s="3" t="s">
        <v>208</v>
      </c>
      <c r="N58" s="3" t="s">
        <v>209</v>
      </c>
      <c r="O58" s="3" t="s">
        <v>52</v>
      </c>
      <c r="P58" s="3" t="s">
        <v>325</v>
      </c>
      <c r="Q58" s="3" t="s">
        <v>210</v>
      </c>
      <c r="R58" s="3" t="s">
        <v>159</v>
      </c>
      <c r="S58" s="3" t="s">
        <v>87</v>
      </c>
      <c r="T58" s="3" t="s">
        <v>55</v>
      </c>
      <c r="U58" s="3" t="s">
        <v>63</v>
      </c>
    </row>
    <row r="59" ht="14.25" customHeight="1">
      <c r="A59" s="1" t="s">
        <v>424</v>
      </c>
      <c r="B59" s="1"/>
      <c r="C59" s="2" t="s">
        <v>394</v>
      </c>
      <c r="D59" s="2" t="s">
        <v>394</v>
      </c>
      <c r="E59" s="1"/>
      <c r="F59" s="2">
        <v>17.0</v>
      </c>
      <c r="G59" s="3" t="s">
        <v>57</v>
      </c>
      <c r="H59" s="62" t="s">
        <v>201</v>
      </c>
      <c r="I59" s="3"/>
      <c r="J59" s="3" t="s">
        <v>425</v>
      </c>
      <c r="K59" s="3" t="s">
        <v>426</v>
      </c>
      <c r="L59" s="3" t="s">
        <v>706</v>
      </c>
      <c r="M59" s="3" t="s">
        <v>428</v>
      </c>
      <c r="N59" s="3" t="s">
        <v>185</v>
      </c>
      <c r="O59" s="3" t="s">
        <v>52</v>
      </c>
      <c r="P59" s="3" t="s">
        <v>125</v>
      </c>
      <c r="Q59" s="3" t="s">
        <v>125</v>
      </c>
      <c r="R59" s="3" t="s">
        <v>159</v>
      </c>
      <c r="S59" s="3" t="s">
        <v>75</v>
      </c>
      <c r="T59" s="3" t="s">
        <v>96</v>
      </c>
      <c r="U59" s="3" t="s">
        <v>63</v>
      </c>
    </row>
    <row r="60" ht="14.25" customHeight="1">
      <c r="A60" s="64" t="s">
        <v>429</v>
      </c>
      <c r="B60" s="64"/>
      <c r="C60" s="65" t="s">
        <v>394</v>
      </c>
      <c r="D60" s="65" t="s">
        <v>394</v>
      </c>
      <c r="E60" s="64"/>
      <c r="F60" s="65">
        <v>20.0</v>
      </c>
      <c r="G60" s="66" t="s">
        <v>46</v>
      </c>
      <c r="H60" s="35" t="s">
        <v>430</v>
      </c>
      <c r="I60" s="67" t="s">
        <v>257</v>
      </c>
      <c r="J60" s="66"/>
      <c r="K60" s="66" t="s">
        <v>707</v>
      </c>
      <c r="L60" s="66" t="s">
        <v>708</v>
      </c>
      <c r="M60" s="66" t="s">
        <v>313</v>
      </c>
      <c r="N60" s="66" t="s">
        <v>39</v>
      </c>
      <c r="O60" s="66" t="s">
        <v>39</v>
      </c>
      <c r="P60" s="66" t="s">
        <v>39</v>
      </c>
      <c r="Q60" s="66" t="s">
        <v>39</v>
      </c>
      <c r="R60" s="66" t="s">
        <v>39</v>
      </c>
      <c r="S60" s="66" t="s">
        <v>39</v>
      </c>
      <c r="T60" s="66" t="s">
        <v>63</v>
      </c>
      <c r="U60" s="66" t="s">
        <v>85</v>
      </c>
      <c r="V60" s="68"/>
      <c r="W60" s="68"/>
      <c r="X60" s="68"/>
      <c r="Y60" s="68"/>
      <c r="Z60" s="68"/>
    </row>
    <row r="61" ht="14.25" customHeight="1">
      <c r="A61" s="17" t="s">
        <v>709</v>
      </c>
      <c r="B61" s="17"/>
      <c r="C61" s="18" t="s">
        <v>394</v>
      </c>
      <c r="D61" s="18" t="s">
        <v>394</v>
      </c>
      <c r="E61" s="17"/>
      <c r="F61" s="18">
        <v>20.0</v>
      </c>
      <c r="G61" s="19" t="s">
        <v>46</v>
      </c>
      <c r="H61" s="104" t="s">
        <v>430</v>
      </c>
      <c r="I61" s="105" t="s">
        <v>257</v>
      </c>
      <c r="J61" s="19"/>
      <c r="K61" s="19" t="s">
        <v>710</v>
      </c>
      <c r="L61" s="19" t="s">
        <v>39</v>
      </c>
      <c r="M61" s="19"/>
      <c r="N61" s="19"/>
      <c r="O61" s="19"/>
      <c r="P61" s="19"/>
      <c r="Q61" s="19"/>
      <c r="R61" s="19"/>
      <c r="S61" s="19"/>
      <c r="T61" s="19"/>
      <c r="U61" s="19"/>
      <c r="V61" s="21"/>
      <c r="W61" s="21"/>
      <c r="X61" s="21"/>
      <c r="Y61" s="21"/>
      <c r="Z61" s="21"/>
    </row>
    <row r="62" ht="14.25" customHeight="1">
      <c r="A62" s="1" t="s">
        <v>433</v>
      </c>
      <c r="B62" s="1"/>
      <c r="C62" s="2" t="s">
        <v>394</v>
      </c>
      <c r="D62" s="2" t="s">
        <v>394</v>
      </c>
      <c r="E62" s="1"/>
      <c r="F62" s="2">
        <v>20.0</v>
      </c>
      <c r="G62" s="3" t="s">
        <v>57</v>
      </c>
      <c r="H62" s="69" t="s">
        <v>434</v>
      </c>
      <c r="I62" s="70" t="s">
        <v>435</v>
      </c>
      <c r="J62" s="3" t="s">
        <v>436</v>
      </c>
      <c r="K62" s="3" t="s">
        <v>437</v>
      </c>
      <c r="L62" s="3" t="s">
        <v>711</v>
      </c>
      <c r="M62" s="3" t="s">
        <v>439</v>
      </c>
      <c r="N62" s="3" t="s">
        <v>102</v>
      </c>
      <c r="O62" s="3" t="s">
        <v>39</v>
      </c>
      <c r="P62" s="3" t="s">
        <v>224</v>
      </c>
      <c r="Q62" s="3" t="s">
        <v>252</v>
      </c>
      <c r="R62" s="3" t="s">
        <v>194</v>
      </c>
      <c r="S62" s="3" t="s">
        <v>42</v>
      </c>
      <c r="T62" s="3" t="s">
        <v>55</v>
      </c>
      <c r="U62" s="3" t="s">
        <v>44</v>
      </c>
    </row>
    <row r="63" ht="14.25" customHeight="1">
      <c r="A63" s="17" t="s">
        <v>712</v>
      </c>
      <c r="B63" s="17"/>
      <c r="C63" s="18" t="s">
        <v>394</v>
      </c>
      <c r="D63" s="18" t="s">
        <v>394</v>
      </c>
      <c r="E63" s="17"/>
      <c r="F63" s="18">
        <v>20.0</v>
      </c>
      <c r="G63" s="19" t="s">
        <v>57</v>
      </c>
      <c r="H63" s="20" t="s">
        <v>434</v>
      </c>
      <c r="I63" s="106"/>
      <c r="J63" s="19" t="s">
        <v>713</v>
      </c>
      <c r="K63" s="19" t="s">
        <v>714</v>
      </c>
      <c r="L63" s="19" t="s">
        <v>39</v>
      </c>
      <c r="M63" s="19"/>
      <c r="N63" s="19"/>
      <c r="O63" s="19"/>
      <c r="P63" s="19"/>
      <c r="Q63" s="19"/>
      <c r="R63" s="19"/>
      <c r="S63" s="19"/>
      <c r="T63" s="19"/>
      <c r="U63" s="19"/>
      <c r="V63" s="21"/>
      <c r="W63" s="21"/>
      <c r="X63" s="21"/>
      <c r="Y63" s="21"/>
      <c r="Z63" s="21"/>
    </row>
    <row r="64" ht="14.25" customHeight="1">
      <c r="A64" s="1" t="s">
        <v>440</v>
      </c>
      <c r="B64" s="1"/>
      <c r="C64" s="2" t="s">
        <v>394</v>
      </c>
      <c r="D64" s="2" t="s">
        <v>394</v>
      </c>
      <c r="E64" s="1"/>
      <c r="F64" s="2">
        <v>19.0</v>
      </c>
      <c r="G64" s="3" t="s">
        <v>133</v>
      </c>
      <c r="H64" s="71" t="s">
        <v>133</v>
      </c>
      <c r="I64" s="3"/>
      <c r="J64" s="3"/>
      <c r="K64" s="3" t="s">
        <v>441</v>
      </c>
      <c r="L64" s="3" t="s">
        <v>715</v>
      </c>
      <c r="M64" s="3" t="s">
        <v>277</v>
      </c>
      <c r="N64" s="3" t="s">
        <v>242</v>
      </c>
      <c r="O64" s="3" t="s">
        <v>39</v>
      </c>
      <c r="P64" s="3" t="s">
        <v>39</v>
      </c>
      <c r="Q64" s="3" t="s">
        <v>39</v>
      </c>
      <c r="R64" s="3" t="s">
        <v>41</v>
      </c>
      <c r="S64" s="3" t="s">
        <v>39</v>
      </c>
      <c r="T64" s="3" t="s">
        <v>443</v>
      </c>
      <c r="U64" s="3" t="s">
        <v>39</v>
      </c>
    </row>
    <row r="65" ht="14.25" customHeight="1">
      <c r="A65" s="1" t="s">
        <v>444</v>
      </c>
      <c r="B65" s="1"/>
      <c r="C65" s="2" t="s">
        <v>445</v>
      </c>
      <c r="D65" s="2" t="s">
        <v>445</v>
      </c>
      <c r="E65" s="1"/>
      <c r="F65" s="2" t="s">
        <v>446</v>
      </c>
      <c r="G65" s="3" t="s">
        <v>57</v>
      </c>
      <c r="H65" s="72" t="s">
        <v>447</v>
      </c>
      <c r="I65" s="73" t="s">
        <v>716</v>
      </c>
      <c r="J65" s="3" t="s">
        <v>448</v>
      </c>
      <c r="K65" s="3" t="s">
        <v>449</v>
      </c>
      <c r="L65" s="3" t="s">
        <v>717</v>
      </c>
      <c r="M65" s="3" t="s">
        <v>451</v>
      </c>
      <c r="N65" s="3" t="s">
        <v>343</v>
      </c>
      <c r="O65" s="3" t="s">
        <v>39</v>
      </c>
      <c r="P65" s="3" t="s">
        <v>39</v>
      </c>
      <c r="Q65" s="3" t="s">
        <v>39</v>
      </c>
      <c r="R65" s="3" t="s">
        <v>452</v>
      </c>
      <c r="S65" s="3" t="s">
        <v>42</v>
      </c>
      <c r="T65" s="3" t="s">
        <v>453</v>
      </c>
      <c r="U65" s="3" t="s">
        <v>63</v>
      </c>
    </row>
    <row r="66" ht="14.25" customHeight="1">
      <c r="A66" s="1" t="s">
        <v>454</v>
      </c>
      <c r="B66" s="1"/>
      <c r="C66" s="2" t="s">
        <v>445</v>
      </c>
      <c r="D66" s="2" t="s">
        <v>445</v>
      </c>
      <c r="E66" s="1"/>
      <c r="F66" s="2" t="s">
        <v>446</v>
      </c>
      <c r="G66" s="3" t="s">
        <v>57</v>
      </c>
      <c r="H66" s="74" t="s">
        <v>447</v>
      </c>
      <c r="I66" s="3"/>
      <c r="J66" s="3"/>
      <c r="K66" s="3" t="s">
        <v>449</v>
      </c>
      <c r="L66" s="3" t="s">
        <v>718</v>
      </c>
      <c r="M66" s="3" t="s">
        <v>456</v>
      </c>
      <c r="N66" s="3" t="s">
        <v>375</v>
      </c>
      <c r="O66" s="3" t="s">
        <v>210</v>
      </c>
      <c r="P66" s="3" t="s">
        <v>295</v>
      </c>
      <c r="Q66" s="3" t="s">
        <v>210</v>
      </c>
      <c r="R66" s="3" t="s">
        <v>358</v>
      </c>
      <c r="S66" s="3" t="s">
        <v>39</v>
      </c>
      <c r="T66" s="3" t="s">
        <v>85</v>
      </c>
      <c r="U66" s="3" t="s">
        <v>44</v>
      </c>
    </row>
    <row r="67" ht="14.25" customHeight="1">
      <c r="A67" s="83" t="s">
        <v>457</v>
      </c>
      <c r="B67" s="83"/>
      <c r="C67" s="84" t="s">
        <v>445</v>
      </c>
      <c r="D67" s="84" t="s">
        <v>445</v>
      </c>
      <c r="E67" s="83"/>
      <c r="F67" s="84" t="s">
        <v>446</v>
      </c>
      <c r="G67" s="85" t="s">
        <v>57</v>
      </c>
      <c r="H67" s="33" t="s">
        <v>447</v>
      </c>
      <c r="I67" s="85"/>
      <c r="J67" s="85" t="s">
        <v>458</v>
      </c>
      <c r="K67" s="85" t="s">
        <v>719</v>
      </c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7"/>
      <c r="W67" s="87"/>
      <c r="X67" s="87"/>
      <c r="Y67" s="87"/>
      <c r="Z67" s="87"/>
    </row>
    <row r="68" ht="14.25" customHeight="1">
      <c r="A68" s="90" t="s">
        <v>716</v>
      </c>
      <c r="B68" s="90"/>
      <c r="C68" s="91" t="s">
        <v>445</v>
      </c>
      <c r="D68" s="91" t="s">
        <v>445</v>
      </c>
      <c r="E68" s="90"/>
      <c r="F68" s="91">
        <v>46.0</v>
      </c>
      <c r="G68" s="92" t="s">
        <v>57</v>
      </c>
      <c r="H68" s="107" t="s">
        <v>447</v>
      </c>
      <c r="I68" s="108" t="s">
        <v>444</v>
      </c>
      <c r="J68" s="92"/>
      <c r="K68" s="92" t="s">
        <v>720</v>
      </c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4"/>
      <c r="W68" s="94"/>
      <c r="X68" s="94"/>
      <c r="Y68" s="94"/>
      <c r="Z68" s="94"/>
    </row>
    <row r="69" ht="14.25" customHeight="1">
      <c r="A69" s="1" t="s">
        <v>467</v>
      </c>
      <c r="B69" s="1"/>
      <c r="C69" s="2" t="s">
        <v>445</v>
      </c>
      <c r="D69" s="2" t="s">
        <v>445</v>
      </c>
      <c r="E69" s="1" t="s">
        <v>68</v>
      </c>
      <c r="F69" s="2">
        <v>47.0</v>
      </c>
      <c r="G69" s="3" t="s">
        <v>57</v>
      </c>
      <c r="H69" s="75" t="s">
        <v>447</v>
      </c>
      <c r="I69" s="3"/>
      <c r="J69" s="3"/>
      <c r="K69" s="3" t="s">
        <v>459</v>
      </c>
      <c r="L69" s="3" t="s">
        <v>721</v>
      </c>
      <c r="M69" s="3" t="s">
        <v>469</v>
      </c>
      <c r="N69" s="3" t="s">
        <v>118</v>
      </c>
      <c r="O69" s="3" t="s">
        <v>252</v>
      </c>
      <c r="P69" s="3" t="s">
        <v>295</v>
      </c>
      <c r="Q69" s="3" t="s">
        <v>252</v>
      </c>
      <c r="R69" s="3" t="s">
        <v>117</v>
      </c>
      <c r="S69" s="3" t="s">
        <v>54</v>
      </c>
      <c r="T69" s="3" t="s">
        <v>55</v>
      </c>
      <c r="U69" s="3" t="s">
        <v>63</v>
      </c>
    </row>
    <row r="70" ht="14.25" customHeight="1">
      <c r="A70" s="1" t="s">
        <v>470</v>
      </c>
      <c r="B70" s="1"/>
      <c r="C70" s="2" t="s">
        <v>445</v>
      </c>
      <c r="D70" s="2" t="s">
        <v>445</v>
      </c>
      <c r="E70" s="1"/>
      <c r="F70" s="2">
        <v>48.0</v>
      </c>
      <c r="G70" s="3" t="s">
        <v>133</v>
      </c>
      <c r="H70" s="76" t="s">
        <v>133</v>
      </c>
      <c r="I70" s="3"/>
      <c r="J70" s="3"/>
      <c r="K70" s="3" t="s">
        <v>471</v>
      </c>
      <c r="L70" s="3" t="s">
        <v>722</v>
      </c>
      <c r="M70" s="3" t="s">
        <v>473</v>
      </c>
      <c r="N70" s="3" t="s">
        <v>39</v>
      </c>
      <c r="O70" s="3" t="s">
        <v>210</v>
      </c>
      <c r="P70" s="3" t="s">
        <v>193</v>
      </c>
      <c r="Q70" s="3" t="s">
        <v>193</v>
      </c>
      <c r="R70" s="3" t="s">
        <v>186</v>
      </c>
      <c r="S70" s="3" t="s">
        <v>54</v>
      </c>
      <c r="T70" s="3" t="s">
        <v>350</v>
      </c>
      <c r="U70" s="3" t="s">
        <v>44</v>
      </c>
    </row>
    <row r="71" ht="14.25" customHeight="1">
      <c r="A71" s="1" t="s">
        <v>474</v>
      </c>
      <c r="B71" s="1"/>
      <c r="C71" s="2" t="s">
        <v>78</v>
      </c>
      <c r="D71" s="2" t="s">
        <v>78</v>
      </c>
      <c r="E71" s="1" t="s">
        <v>31</v>
      </c>
      <c r="F71" s="2" t="s">
        <v>475</v>
      </c>
      <c r="G71" s="3" t="s">
        <v>133</v>
      </c>
      <c r="H71" s="11" t="s">
        <v>133</v>
      </c>
      <c r="I71" s="3"/>
      <c r="J71" s="3" t="s">
        <v>476</v>
      </c>
      <c r="K71" s="3" t="s">
        <v>477</v>
      </c>
      <c r="L71" s="3" t="s">
        <v>723</v>
      </c>
      <c r="M71" s="3" t="s">
        <v>451</v>
      </c>
      <c r="N71" s="3" t="s">
        <v>479</v>
      </c>
      <c r="O71" s="3" t="s">
        <v>210</v>
      </c>
      <c r="P71" s="3" t="s">
        <v>295</v>
      </c>
      <c r="Q71" s="3" t="s">
        <v>39</v>
      </c>
      <c r="R71" s="3" t="s">
        <v>452</v>
      </c>
      <c r="S71" s="3" t="s">
        <v>54</v>
      </c>
      <c r="T71" s="3" t="s">
        <v>273</v>
      </c>
      <c r="U71" s="3" t="s">
        <v>63</v>
      </c>
    </row>
    <row r="72" ht="14.25" customHeight="1">
      <c r="A72" s="1" t="s">
        <v>480</v>
      </c>
      <c r="B72" s="1"/>
      <c r="C72" s="2" t="s">
        <v>78</v>
      </c>
      <c r="D72" s="2" t="s">
        <v>78</v>
      </c>
      <c r="E72" s="1"/>
      <c r="F72" s="2" t="s">
        <v>481</v>
      </c>
      <c r="G72" s="3" t="s">
        <v>32</v>
      </c>
      <c r="H72" s="109" t="s">
        <v>482</v>
      </c>
      <c r="I72" s="3"/>
      <c r="J72" s="3"/>
      <c r="K72" s="3" t="s">
        <v>483</v>
      </c>
      <c r="L72" s="3" t="s">
        <v>724</v>
      </c>
      <c r="M72" s="3" t="s">
        <v>166</v>
      </c>
      <c r="N72" s="3" t="s">
        <v>485</v>
      </c>
      <c r="O72" s="3" t="s">
        <v>39</v>
      </c>
      <c r="P72" s="3" t="s">
        <v>295</v>
      </c>
      <c r="Q72" s="3" t="s">
        <v>147</v>
      </c>
      <c r="R72" s="3" t="s">
        <v>349</v>
      </c>
      <c r="S72" s="3" t="s">
        <v>42</v>
      </c>
      <c r="T72" s="3" t="s">
        <v>55</v>
      </c>
      <c r="U72" s="3" t="s">
        <v>63</v>
      </c>
    </row>
    <row r="73" ht="14.25" customHeight="1">
      <c r="A73" s="1" t="s">
        <v>486</v>
      </c>
      <c r="B73" s="1"/>
      <c r="C73" s="2" t="s">
        <v>78</v>
      </c>
      <c r="D73" s="2" t="s">
        <v>78</v>
      </c>
      <c r="E73" s="1"/>
      <c r="F73" s="2">
        <v>33.0</v>
      </c>
      <c r="G73" s="3" t="s">
        <v>32</v>
      </c>
      <c r="H73" s="77" t="s">
        <v>482</v>
      </c>
      <c r="I73" s="3"/>
      <c r="J73" s="3" t="s">
        <v>487</v>
      </c>
      <c r="K73" s="3" t="s">
        <v>488</v>
      </c>
      <c r="L73" s="3" t="s">
        <v>725</v>
      </c>
      <c r="M73" s="3" t="s">
        <v>490</v>
      </c>
      <c r="N73" s="3" t="s">
        <v>154</v>
      </c>
      <c r="O73" s="3" t="s">
        <v>52</v>
      </c>
      <c r="P73" s="3" t="s">
        <v>39</v>
      </c>
      <c r="Q73" s="3" t="s">
        <v>39</v>
      </c>
      <c r="R73" s="3" t="s">
        <v>491</v>
      </c>
      <c r="S73" s="3" t="s">
        <v>42</v>
      </c>
      <c r="T73" s="3" t="s">
        <v>96</v>
      </c>
      <c r="U73" s="3" t="s">
        <v>44</v>
      </c>
    </row>
    <row r="74" ht="14.25" customHeight="1">
      <c r="A74" s="1" t="s">
        <v>492</v>
      </c>
      <c r="B74" s="1"/>
      <c r="C74" s="2" t="s">
        <v>78</v>
      </c>
      <c r="D74" s="2" t="s">
        <v>78</v>
      </c>
      <c r="E74" s="1"/>
      <c r="F74" s="2">
        <v>33.0</v>
      </c>
      <c r="G74" s="3" t="s">
        <v>32</v>
      </c>
      <c r="H74" s="77" t="s">
        <v>482</v>
      </c>
      <c r="I74" s="3"/>
      <c r="J74" s="3" t="s">
        <v>367</v>
      </c>
      <c r="K74" s="3" t="s">
        <v>493</v>
      </c>
      <c r="L74" s="3" t="s">
        <v>726</v>
      </c>
      <c r="M74" s="3" t="s">
        <v>72</v>
      </c>
      <c r="N74" s="3" t="s">
        <v>138</v>
      </c>
      <c r="O74" s="3" t="s">
        <v>52</v>
      </c>
      <c r="P74" s="3" t="s">
        <v>125</v>
      </c>
      <c r="Q74" s="3" t="s">
        <v>147</v>
      </c>
      <c r="R74" s="3" t="s">
        <v>495</v>
      </c>
      <c r="S74" s="3" t="s">
        <v>54</v>
      </c>
      <c r="T74" s="3" t="s">
        <v>139</v>
      </c>
      <c r="U74" s="3" t="s">
        <v>63</v>
      </c>
    </row>
    <row r="75" ht="14.25" customHeight="1">
      <c r="A75" s="1" t="s">
        <v>496</v>
      </c>
      <c r="B75" s="1"/>
      <c r="C75" s="2" t="s">
        <v>78</v>
      </c>
      <c r="D75" s="2" t="s">
        <v>78</v>
      </c>
      <c r="E75" s="1"/>
      <c r="F75" s="2">
        <v>33.0</v>
      </c>
      <c r="G75" s="3" t="s">
        <v>32</v>
      </c>
      <c r="H75" s="77" t="s">
        <v>482</v>
      </c>
      <c r="I75" s="3"/>
      <c r="J75" s="3"/>
      <c r="K75" s="3" t="s">
        <v>497</v>
      </c>
      <c r="L75" s="3" t="s">
        <v>727</v>
      </c>
      <c r="M75" s="3" t="s">
        <v>499</v>
      </c>
      <c r="N75" s="3" t="s">
        <v>242</v>
      </c>
      <c r="O75" s="3" t="s">
        <v>500</v>
      </c>
      <c r="P75" s="3" t="s">
        <v>307</v>
      </c>
      <c r="Q75" s="3" t="s">
        <v>252</v>
      </c>
      <c r="R75" s="3" t="s">
        <v>194</v>
      </c>
      <c r="S75" s="3" t="s">
        <v>42</v>
      </c>
      <c r="T75" s="3" t="s">
        <v>112</v>
      </c>
      <c r="U75" s="3" t="s">
        <v>44</v>
      </c>
    </row>
    <row r="76" ht="14.25" customHeight="1">
      <c r="A76" s="1" t="s">
        <v>501</v>
      </c>
      <c r="B76" s="1"/>
      <c r="C76" s="2" t="s">
        <v>78</v>
      </c>
      <c r="D76" s="2" t="s">
        <v>78</v>
      </c>
      <c r="E76" s="1"/>
      <c r="F76" s="2">
        <v>33.0</v>
      </c>
      <c r="G76" s="3" t="s">
        <v>32</v>
      </c>
      <c r="H76" s="77" t="s">
        <v>482</v>
      </c>
      <c r="I76" s="3"/>
      <c r="J76" s="3"/>
      <c r="K76" s="3" t="s">
        <v>502</v>
      </c>
      <c r="L76" s="3" t="s">
        <v>728</v>
      </c>
      <c r="M76" s="3" t="s">
        <v>504</v>
      </c>
      <c r="N76" s="3" t="s">
        <v>357</v>
      </c>
      <c r="O76" s="3" t="s">
        <v>52</v>
      </c>
      <c r="P76" s="3" t="s">
        <v>307</v>
      </c>
      <c r="Q76" s="3" t="s">
        <v>252</v>
      </c>
      <c r="R76" s="3" t="s">
        <v>148</v>
      </c>
      <c r="S76" s="3" t="s">
        <v>42</v>
      </c>
      <c r="T76" s="3" t="s">
        <v>55</v>
      </c>
      <c r="U76" s="3" t="s">
        <v>44</v>
      </c>
    </row>
    <row r="77" ht="14.25" customHeight="1">
      <c r="A77" s="1" t="s">
        <v>505</v>
      </c>
      <c r="B77" s="1"/>
      <c r="C77" s="2" t="s">
        <v>78</v>
      </c>
      <c r="D77" s="2" t="s">
        <v>78</v>
      </c>
      <c r="E77" s="1"/>
      <c r="F77" s="2">
        <v>33.0</v>
      </c>
      <c r="G77" s="3" t="s">
        <v>32</v>
      </c>
      <c r="H77" s="78" t="s">
        <v>482</v>
      </c>
      <c r="I77" s="3"/>
      <c r="J77" s="3"/>
      <c r="K77" s="3" t="s">
        <v>506</v>
      </c>
      <c r="L77" s="3" t="s">
        <v>729</v>
      </c>
      <c r="M77" s="3" t="s">
        <v>508</v>
      </c>
      <c r="N77" s="3" t="s">
        <v>509</v>
      </c>
      <c r="O77" s="3" t="s">
        <v>52</v>
      </c>
      <c r="P77" s="3" t="s">
        <v>125</v>
      </c>
      <c r="Q77" s="3" t="s">
        <v>39</v>
      </c>
      <c r="R77" s="3" t="s">
        <v>95</v>
      </c>
      <c r="S77" s="3" t="s">
        <v>75</v>
      </c>
      <c r="T77" s="3" t="s">
        <v>96</v>
      </c>
      <c r="U77" s="3" t="s">
        <v>44</v>
      </c>
    </row>
    <row r="78" ht="14.25" customHeight="1">
      <c r="A78" s="1" t="s">
        <v>510</v>
      </c>
      <c r="B78" s="1"/>
      <c r="C78" s="2" t="s">
        <v>78</v>
      </c>
      <c r="D78" s="2" t="s">
        <v>78</v>
      </c>
      <c r="E78" s="1"/>
      <c r="F78" s="2">
        <v>33.0</v>
      </c>
      <c r="G78" s="3" t="s">
        <v>57</v>
      </c>
      <c r="H78" s="79" t="s">
        <v>201</v>
      </c>
      <c r="I78" s="3"/>
      <c r="J78" s="3" t="s">
        <v>511</v>
      </c>
      <c r="K78" s="3" t="s">
        <v>512</v>
      </c>
      <c r="L78" s="3" t="s">
        <v>730</v>
      </c>
      <c r="M78" s="3" t="s">
        <v>514</v>
      </c>
      <c r="N78" s="3" t="s">
        <v>462</v>
      </c>
      <c r="O78" s="3" t="s">
        <v>39</v>
      </c>
      <c r="P78" s="3" t="s">
        <v>307</v>
      </c>
      <c r="Q78" s="3" t="s">
        <v>39</v>
      </c>
      <c r="R78" s="3" t="s">
        <v>186</v>
      </c>
      <c r="S78" s="3" t="s">
        <v>39</v>
      </c>
      <c r="T78" s="3" t="s">
        <v>515</v>
      </c>
      <c r="U78" s="3" t="s">
        <v>85</v>
      </c>
    </row>
    <row r="79" ht="14.25" customHeight="1">
      <c r="A79" s="1" t="s">
        <v>516</v>
      </c>
      <c r="B79" s="1"/>
      <c r="C79" s="2" t="s">
        <v>78</v>
      </c>
      <c r="D79" s="2" t="s">
        <v>78</v>
      </c>
      <c r="E79" s="1"/>
      <c r="F79" s="2">
        <v>34.0</v>
      </c>
      <c r="G79" s="3" t="s">
        <v>46</v>
      </c>
      <c r="H79" s="80" t="s">
        <v>517</v>
      </c>
      <c r="I79" s="3"/>
      <c r="J79" s="3"/>
      <c r="K79" s="3" t="s">
        <v>518</v>
      </c>
      <c r="L79" s="3" t="s">
        <v>731</v>
      </c>
      <c r="M79" s="3" t="s">
        <v>520</v>
      </c>
      <c r="N79" s="3" t="s">
        <v>462</v>
      </c>
      <c r="O79" s="3" t="s">
        <v>210</v>
      </c>
      <c r="P79" s="3" t="s">
        <v>199</v>
      </c>
      <c r="Q79" s="3" t="s">
        <v>199</v>
      </c>
      <c r="R79" s="3" t="s">
        <v>314</v>
      </c>
      <c r="S79" s="3" t="s">
        <v>39</v>
      </c>
      <c r="T79" s="3" t="s">
        <v>42</v>
      </c>
      <c r="U79" s="3" t="s">
        <v>85</v>
      </c>
    </row>
    <row r="80" ht="14.25" customHeight="1">
      <c r="A80" s="1" t="s">
        <v>521</v>
      </c>
      <c r="B80" s="1"/>
      <c r="C80" s="2" t="s">
        <v>78</v>
      </c>
      <c r="D80" s="2" t="s">
        <v>78</v>
      </c>
      <c r="E80" s="1"/>
      <c r="F80" s="2">
        <v>34.0</v>
      </c>
      <c r="G80" s="3" t="s">
        <v>46</v>
      </c>
      <c r="H80" s="81" t="s">
        <v>517</v>
      </c>
      <c r="I80" s="3"/>
      <c r="J80" s="3"/>
      <c r="K80" s="3" t="s">
        <v>522</v>
      </c>
      <c r="L80" s="3" t="s">
        <v>732</v>
      </c>
      <c r="M80" s="3" t="s">
        <v>524</v>
      </c>
      <c r="N80" s="3" t="s">
        <v>39</v>
      </c>
      <c r="O80" s="3" t="s">
        <v>218</v>
      </c>
      <c r="P80" s="3" t="s">
        <v>199</v>
      </c>
      <c r="Q80" s="3" t="s">
        <v>199</v>
      </c>
      <c r="R80" s="3" t="s">
        <v>525</v>
      </c>
      <c r="S80" s="3" t="s">
        <v>39</v>
      </c>
      <c r="T80" s="3" t="s">
        <v>42</v>
      </c>
      <c r="U80" s="3" t="s">
        <v>85</v>
      </c>
    </row>
    <row r="81" ht="14.25" customHeight="1">
      <c r="A81" s="83" t="s">
        <v>526</v>
      </c>
      <c r="B81" s="83"/>
      <c r="C81" s="84" t="s">
        <v>78</v>
      </c>
      <c r="D81" s="84" t="s">
        <v>78</v>
      </c>
      <c r="E81" s="83"/>
      <c r="F81" s="84" t="s">
        <v>527</v>
      </c>
      <c r="G81" s="85" t="s">
        <v>32</v>
      </c>
      <c r="H81" s="110" t="s">
        <v>528</v>
      </c>
      <c r="I81" s="85"/>
      <c r="J81" s="85" t="s">
        <v>529</v>
      </c>
      <c r="K81" s="85" t="s">
        <v>530</v>
      </c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7"/>
      <c r="W81" s="87"/>
      <c r="X81" s="87"/>
      <c r="Y81" s="87"/>
      <c r="Z81" s="87"/>
    </row>
    <row r="82" ht="14.25" customHeight="1">
      <c r="A82" s="1" t="s">
        <v>533</v>
      </c>
      <c r="B82" s="1"/>
      <c r="C82" s="2" t="s">
        <v>78</v>
      </c>
      <c r="D82" s="2" t="s">
        <v>78</v>
      </c>
      <c r="E82" s="1"/>
      <c r="F82" s="2">
        <v>34.0</v>
      </c>
      <c r="G82" s="3" t="s">
        <v>57</v>
      </c>
      <c r="H82" s="82" t="s">
        <v>201</v>
      </c>
      <c r="I82" s="3"/>
      <c r="J82" s="3"/>
      <c r="K82" s="3" t="s">
        <v>305</v>
      </c>
      <c r="L82" s="3" t="s">
        <v>733</v>
      </c>
      <c r="M82" s="3" t="s">
        <v>535</v>
      </c>
      <c r="N82" s="3" t="s">
        <v>102</v>
      </c>
      <c r="O82" s="3" t="s">
        <v>155</v>
      </c>
      <c r="P82" s="3" t="s">
        <v>307</v>
      </c>
      <c r="Q82" s="3" t="s">
        <v>252</v>
      </c>
      <c r="R82" s="3" t="s">
        <v>186</v>
      </c>
      <c r="S82" s="3" t="s">
        <v>54</v>
      </c>
      <c r="T82" s="3" t="s">
        <v>42</v>
      </c>
      <c r="U82" s="3" t="s">
        <v>44</v>
      </c>
    </row>
    <row r="83" ht="14.25" customHeight="1">
      <c r="A83" s="83" t="s">
        <v>536</v>
      </c>
      <c r="B83" s="83"/>
      <c r="C83" s="84" t="s">
        <v>78</v>
      </c>
      <c r="D83" s="84" t="s">
        <v>78</v>
      </c>
      <c r="E83" s="83"/>
      <c r="F83" s="84">
        <v>35.0</v>
      </c>
      <c r="G83" s="85" t="s">
        <v>32</v>
      </c>
      <c r="H83" s="110" t="s">
        <v>528</v>
      </c>
      <c r="I83" s="85"/>
      <c r="J83" s="85"/>
      <c r="K83" s="85" t="s">
        <v>537</v>
      </c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7"/>
      <c r="W83" s="87"/>
      <c r="X83" s="87"/>
      <c r="Y83" s="87"/>
      <c r="Z83" s="87"/>
    </row>
    <row r="84" ht="14.25" customHeight="1">
      <c r="A84" s="17" t="s">
        <v>734</v>
      </c>
      <c r="B84" s="17"/>
      <c r="C84" s="18" t="s">
        <v>78</v>
      </c>
      <c r="D84" s="18" t="s">
        <v>78</v>
      </c>
      <c r="E84" s="17"/>
      <c r="F84" s="18" t="s">
        <v>527</v>
      </c>
      <c r="G84" s="19" t="s">
        <v>57</v>
      </c>
      <c r="H84" s="111" t="s">
        <v>201</v>
      </c>
      <c r="I84" s="19"/>
      <c r="J84" s="112" t="s">
        <v>735</v>
      </c>
      <c r="K84" s="19" t="s">
        <v>736</v>
      </c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21"/>
      <c r="W84" s="21"/>
      <c r="X84" s="21"/>
      <c r="Y84" s="21"/>
      <c r="Z84" s="21"/>
    </row>
    <row r="85" ht="14.25" customHeight="1">
      <c r="A85" s="1" t="s">
        <v>543</v>
      </c>
      <c r="B85" s="1"/>
      <c r="C85" s="2" t="s">
        <v>78</v>
      </c>
      <c r="D85" s="2" t="s">
        <v>78</v>
      </c>
      <c r="E85" s="1"/>
      <c r="F85" s="2">
        <v>35.0</v>
      </c>
      <c r="G85" s="3" t="s">
        <v>32</v>
      </c>
      <c r="H85" s="113" t="s">
        <v>528</v>
      </c>
      <c r="I85" s="3"/>
      <c r="J85" s="3"/>
      <c r="K85" s="3" t="s">
        <v>372</v>
      </c>
      <c r="L85" s="3" t="s">
        <v>737</v>
      </c>
      <c r="M85" s="3" t="s">
        <v>545</v>
      </c>
      <c r="N85" s="3" t="s">
        <v>138</v>
      </c>
      <c r="O85" s="3" t="s">
        <v>52</v>
      </c>
      <c r="P85" s="3" t="s">
        <v>125</v>
      </c>
      <c r="Q85" s="3" t="s">
        <v>147</v>
      </c>
      <c r="R85" s="3" t="s">
        <v>546</v>
      </c>
      <c r="S85" s="3" t="s">
        <v>54</v>
      </c>
      <c r="T85" s="3" t="s">
        <v>139</v>
      </c>
      <c r="U85" s="3" t="s">
        <v>42</v>
      </c>
    </row>
    <row r="86" ht="14.25" customHeight="1">
      <c r="A86" s="1" t="s">
        <v>547</v>
      </c>
      <c r="B86" s="1"/>
      <c r="C86" s="2" t="s">
        <v>78</v>
      </c>
      <c r="D86" s="2" t="s">
        <v>78</v>
      </c>
      <c r="E86" s="1"/>
      <c r="F86" s="2">
        <v>35.0</v>
      </c>
      <c r="G86" s="3" t="s">
        <v>32</v>
      </c>
      <c r="H86" s="88" t="s">
        <v>528</v>
      </c>
      <c r="I86" s="3"/>
      <c r="J86" s="3"/>
      <c r="K86" s="3" t="s">
        <v>548</v>
      </c>
      <c r="L86" s="3" t="s">
        <v>738</v>
      </c>
      <c r="M86" s="3" t="s">
        <v>550</v>
      </c>
      <c r="N86" s="3" t="s">
        <v>285</v>
      </c>
      <c r="O86" s="3" t="s">
        <v>40</v>
      </c>
      <c r="P86" s="3" t="s">
        <v>307</v>
      </c>
      <c r="Q86" s="3" t="s">
        <v>252</v>
      </c>
      <c r="R86" s="3" t="s">
        <v>41</v>
      </c>
      <c r="S86" s="3" t="s">
        <v>42</v>
      </c>
      <c r="T86" s="3" t="s">
        <v>85</v>
      </c>
      <c r="U86" s="3" t="s">
        <v>85</v>
      </c>
    </row>
    <row r="87" ht="14.25" customHeight="1">
      <c r="A87" s="1" t="s">
        <v>551</v>
      </c>
      <c r="B87" s="1"/>
      <c r="C87" s="2" t="s">
        <v>78</v>
      </c>
      <c r="D87" s="2" t="s">
        <v>78</v>
      </c>
      <c r="E87" s="1"/>
      <c r="F87" s="2" t="s">
        <v>552</v>
      </c>
      <c r="G87" s="3" t="s">
        <v>32</v>
      </c>
      <c r="H87" s="89" t="s">
        <v>528</v>
      </c>
      <c r="I87" s="3"/>
      <c r="J87" s="3" t="s">
        <v>553</v>
      </c>
      <c r="K87" s="3" t="s">
        <v>554</v>
      </c>
      <c r="L87" s="3" t="s">
        <v>739</v>
      </c>
      <c r="M87" s="3" t="s">
        <v>740</v>
      </c>
      <c r="N87" s="3" t="s">
        <v>39</v>
      </c>
      <c r="O87" s="3" t="s">
        <v>557</v>
      </c>
      <c r="P87" s="3" t="s">
        <v>39</v>
      </c>
      <c r="Q87" s="3" t="s">
        <v>558</v>
      </c>
      <c r="R87" s="3" t="s">
        <v>54</v>
      </c>
      <c r="S87" s="3" t="s">
        <v>54</v>
      </c>
      <c r="T87" s="3" t="s">
        <v>559</v>
      </c>
      <c r="U87" s="3" t="s">
        <v>42</v>
      </c>
    </row>
    <row r="88" ht="14.25" customHeight="1">
      <c r="A88" s="1" t="s">
        <v>560</v>
      </c>
      <c r="B88" s="1"/>
      <c r="C88" s="2" t="s">
        <v>561</v>
      </c>
      <c r="D88" s="2" t="s">
        <v>561</v>
      </c>
      <c r="E88" s="1"/>
      <c r="F88" s="2">
        <v>56.0</v>
      </c>
      <c r="G88" s="3" t="s">
        <v>133</v>
      </c>
      <c r="H88" s="11" t="s">
        <v>133</v>
      </c>
      <c r="I88" s="3"/>
      <c r="J88" s="3"/>
      <c r="K88" s="3" t="s">
        <v>562</v>
      </c>
      <c r="L88" s="3" t="s">
        <v>741</v>
      </c>
      <c r="M88" s="3" t="s">
        <v>564</v>
      </c>
      <c r="N88" s="3" t="s">
        <v>343</v>
      </c>
      <c r="O88" s="3" t="s">
        <v>39</v>
      </c>
      <c r="P88" s="3" t="s">
        <v>39</v>
      </c>
      <c r="Q88" s="3" t="s">
        <v>39</v>
      </c>
      <c r="R88" s="3" t="s">
        <v>565</v>
      </c>
      <c r="S88" s="3" t="s">
        <v>54</v>
      </c>
      <c r="T88" s="3" t="s">
        <v>566</v>
      </c>
      <c r="U88" s="3" t="s">
        <v>63</v>
      </c>
    </row>
    <row r="89" ht="14.25" customHeight="1">
      <c r="A89" s="1" t="s">
        <v>567</v>
      </c>
      <c r="B89" s="1"/>
      <c r="C89" s="2" t="s">
        <v>561</v>
      </c>
      <c r="D89" s="2" t="s">
        <v>561</v>
      </c>
      <c r="E89" s="1"/>
      <c r="F89" s="2">
        <v>59.0</v>
      </c>
      <c r="G89" s="3" t="s">
        <v>133</v>
      </c>
      <c r="H89" s="11" t="s">
        <v>133</v>
      </c>
      <c r="I89" s="3"/>
      <c r="J89" s="3"/>
      <c r="K89" s="3" t="s">
        <v>506</v>
      </c>
      <c r="L89" s="3" t="s">
        <v>742</v>
      </c>
      <c r="M89" s="3" t="s">
        <v>569</v>
      </c>
      <c r="N89" s="3" t="s">
        <v>570</v>
      </c>
      <c r="O89" s="3" t="s">
        <v>39</v>
      </c>
      <c r="P89" s="3" t="s">
        <v>39</v>
      </c>
      <c r="Q89" s="3" t="s">
        <v>39</v>
      </c>
      <c r="R89" s="3" t="s">
        <v>571</v>
      </c>
      <c r="S89" s="3" t="s">
        <v>54</v>
      </c>
      <c r="T89" s="3" t="s">
        <v>63</v>
      </c>
      <c r="U89" s="3" t="s">
        <v>44</v>
      </c>
    </row>
    <row r="90" ht="14.25" customHeight="1">
      <c r="A90" s="1" t="s">
        <v>572</v>
      </c>
      <c r="B90" s="1"/>
      <c r="C90" s="2" t="s">
        <v>561</v>
      </c>
      <c r="D90" s="2" t="s">
        <v>561</v>
      </c>
      <c r="E90" s="1"/>
      <c r="F90" s="2">
        <v>59.0</v>
      </c>
      <c r="G90" s="3" t="s">
        <v>57</v>
      </c>
      <c r="H90" s="23"/>
      <c r="I90" s="23" t="s">
        <v>257</v>
      </c>
      <c r="J90" s="3"/>
      <c r="K90" s="3" t="s">
        <v>562</v>
      </c>
      <c r="L90" s="3" t="s">
        <v>743</v>
      </c>
      <c r="M90" s="3" t="s">
        <v>574</v>
      </c>
      <c r="N90" s="3" t="s">
        <v>574</v>
      </c>
      <c r="O90" s="3" t="s">
        <v>39</v>
      </c>
      <c r="P90" s="3" t="s">
        <v>40</v>
      </c>
      <c r="Q90" s="3" t="s">
        <v>39</v>
      </c>
      <c r="R90" s="3" t="s">
        <v>186</v>
      </c>
      <c r="S90" s="3" t="s">
        <v>54</v>
      </c>
      <c r="T90" s="3" t="s">
        <v>211</v>
      </c>
      <c r="U90" s="3" t="s">
        <v>44</v>
      </c>
    </row>
    <row r="91" ht="14.25" customHeight="1">
      <c r="A91" s="17" t="s">
        <v>744</v>
      </c>
      <c r="B91" s="17"/>
      <c r="C91" s="18" t="s">
        <v>561</v>
      </c>
      <c r="D91" s="18" t="s">
        <v>561</v>
      </c>
      <c r="E91" s="17"/>
      <c r="F91" s="18">
        <v>59.0</v>
      </c>
      <c r="G91" s="19" t="s">
        <v>57</v>
      </c>
      <c r="H91" s="20"/>
      <c r="I91" s="20" t="s">
        <v>257</v>
      </c>
      <c r="J91" s="19"/>
      <c r="K91" s="19" t="s">
        <v>562</v>
      </c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21"/>
      <c r="W91" s="21"/>
      <c r="X91" s="21"/>
      <c r="Y91" s="21"/>
      <c r="Z91" s="21"/>
    </row>
    <row r="92" ht="14.25" customHeight="1">
      <c r="A92" s="1" t="s">
        <v>575</v>
      </c>
      <c r="B92" s="1"/>
      <c r="C92" s="2" t="s">
        <v>576</v>
      </c>
      <c r="D92" s="2" t="s">
        <v>577</v>
      </c>
      <c r="E92" s="1"/>
      <c r="F92" s="2" t="s">
        <v>578</v>
      </c>
      <c r="G92" s="3" t="s">
        <v>133</v>
      </c>
      <c r="H92" s="11" t="s">
        <v>133</v>
      </c>
      <c r="I92" s="3"/>
      <c r="J92" s="3"/>
      <c r="K92" s="3" t="s">
        <v>579</v>
      </c>
      <c r="L92" s="3" t="s">
        <v>745</v>
      </c>
      <c r="M92" s="3" t="s">
        <v>581</v>
      </c>
      <c r="N92" s="3" t="s">
        <v>582</v>
      </c>
      <c r="O92" s="3" t="s">
        <v>252</v>
      </c>
      <c r="P92" s="3" t="s">
        <v>224</v>
      </c>
      <c r="Q92" s="3" t="s">
        <v>252</v>
      </c>
      <c r="R92" s="3" t="s">
        <v>194</v>
      </c>
      <c r="S92" s="3" t="s">
        <v>42</v>
      </c>
      <c r="T92" s="3" t="s">
        <v>55</v>
      </c>
      <c r="U92" s="3" t="s">
        <v>63</v>
      </c>
    </row>
    <row r="93" ht="14.25" customHeight="1">
      <c r="A93" s="1" t="s">
        <v>583</v>
      </c>
      <c r="B93" s="1"/>
      <c r="C93" s="2" t="s">
        <v>577</v>
      </c>
      <c r="D93" s="2" t="s">
        <v>577</v>
      </c>
      <c r="E93" s="1"/>
      <c r="F93" s="2">
        <v>37.0</v>
      </c>
      <c r="G93" s="3" t="s">
        <v>133</v>
      </c>
      <c r="H93" s="11" t="s">
        <v>133</v>
      </c>
      <c r="I93" s="3"/>
      <c r="J93" s="3"/>
      <c r="K93" s="3" t="s">
        <v>584</v>
      </c>
      <c r="L93" s="3" t="s">
        <v>746</v>
      </c>
      <c r="M93" s="3" t="s">
        <v>175</v>
      </c>
      <c r="N93" s="3" t="s">
        <v>586</v>
      </c>
      <c r="O93" s="3" t="s">
        <v>85</v>
      </c>
      <c r="P93" s="3" t="s">
        <v>199</v>
      </c>
      <c r="Q93" s="3" t="s">
        <v>199</v>
      </c>
      <c r="R93" s="3" t="s">
        <v>587</v>
      </c>
      <c r="S93" s="3" t="s">
        <v>54</v>
      </c>
      <c r="T93" s="3" t="s">
        <v>588</v>
      </c>
      <c r="U93" s="3" t="s">
        <v>44</v>
      </c>
    </row>
    <row r="94" ht="14.25" customHeight="1">
      <c r="A94" s="1" t="s">
        <v>589</v>
      </c>
      <c r="B94" s="1"/>
      <c r="C94" s="2" t="s">
        <v>590</v>
      </c>
      <c r="D94" s="2"/>
      <c r="E94" s="1"/>
      <c r="F94" s="2" t="s">
        <v>591</v>
      </c>
      <c r="G94" s="3"/>
      <c r="H94" s="3"/>
      <c r="I94" s="3"/>
      <c r="J94" s="3" t="s">
        <v>592</v>
      </c>
      <c r="K94" s="3">
        <v>5.22</v>
      </c>
      <c r="L94" s="3" t="s">
        <v>747</v>
      </c>
      <c r="M94" s="3" t="s">
        <v>525</v>
      </c>
      <c r="N94" s="3" t="s">
        <v>525</v>
      </c>
      <c r="O94" s="3" t="s">
        <v>39</v>
      </c>
      <c r="P94" s="3" t="s">
        <v>295</v>
      </c>
      <c r="Q94" s="3" t="s">
        <v>155</v>
      </c>
      <c r="R94" s="3" t="s">
        <v>582</v>
      </c>
      <c r="S94" s="3" t="s">
        <v>75</v>
      </c>
      <c r="T94" s="3" t="s">
        <v>39</v>
      </c>
      <c r="U94" s="3" t="s">
        <v>39</v>
      </c>
    </row>
    <row r="95" ht="14.25" customHeight="1">
      <c r="A95" s="1" t="s">
        <v>594</v>
      </c>
      <c r="B95" s="1"/>
      <c r="C95" s="2" t="s">
        <v>595</v>
      </c>
      <c r="D95" s="2"/>
      <c r="E95" s="1" t="s">
        <v>68</v>
      </c>
      <c r="F95" s="2" t="s">
        <v>591</v>
      </c>
      <c r="G95" s="3"/>
      <c r="H95" s="13" t="s">
        <v>595</v>
      </c>
      <c r="I95" s="3"/>
      <c r="J95" s="3" t="s">
        <v>596</v>
      </c>
      <c r="K95" s="3">
        <v>9.2021</v>
      </c>
      <c r="L95" s="3" t="s">
        <v>748</v>
      </c>
      <c r="M95" s="3" t="s">
        <v>428</v>
      </c>
      <c r="N95" s="3" t="s">
        <v>185</v>
      </c>
      <c r="O95" s="3" t="s">
        <v>155</v>
      </c>
      <c r="P95" s="3" t="s">
        <v>598</v>
      </c>
      <c r="Q95" s="3" t="s">
        <v>598</v>
      </c>
      <c r="R95" s="3" t="s">
        <v>41</v>
      </c>
      <c r="S95" s="3" t="s">
        <v>42</v>
      </c>
      <c r="T95" s="3" t="s">
        <v>63</v>
      </c>
      <c r="U95" s="3" t="s">
        <v>39</v>
      </c>
    </row>
    <row r="96" ht="14.25" customHeight="1">
      <c r="A96" s="1" t="s">
        <v>599</v>
      </c>
      <c r="B96" s="1"/>
      <c r="C96" s="2" t="s">
        <v>590</v>
      </c>
      <c r="D96" s="2"/>
      <c r="E96" s="1"/>
      <c r="F96" s="2" t="s">
        <v>600</v>
      </c>
      <c r="G96" s="3"/>
      <c r="H96" s="3"/>
      <c r="I96" s="3"/>
      <c r="J96" s="3" t="s">
        <v>601</v>
      </c>
      <c r="K96" s="3" t="s">
        <v>602</v>
      </c>
      <c r="L96" s="3" t="s">
        <v>749</v>
      </c>
      <c r="M96" s="3" t="s">
        <v>525</v>
      </c>
      <c r="N96" s="3" t="s">
        <v>525</v>
      </c>
      <c r="O96" s="3" t="s">
        <v>39</v>
      </c>
      <c r="P96" s="3" t="s">
        <v>39</v>
      </c>
      <c r="Q96" s="3" t="s">
        <v>39</v>
      </c>
      <c r="R96" s="3" t="s">
        <v>109</v>
      </c>
      <c r="S96" s="3" t="s">
        <v>42</v>
      </c>
      <c r="T96" s="3" t="s">
        <v>588</v>
      </c>
      <c r="U96" s="3" t="s">
        <v>63</v>
      </c>
    </row>
    <row r="97" ht="14.25" customHeight="1">
      <c r="A97" s="1" t="s">
        <v>604</v>
      </c>
      <c r="B97" s="1"/>
      <c r="C97" s="2" t="s">
        <v>590</v>
      </c>
      <c r="D97" s="2"/>
      <c r="E97" s="1"/>
      <c r="F97" s="2" t="s">
        <v>600</v>
      </c>
      <c r="G97" s="3"/>
      <c r="H97" s="3"/>
      <c r="I97" s="23" t="s">
        <v>257</v>
      </c>
      <c r="J97" s="95" t="s">
        <v>605</v>
      </c>
      <c r="K97" s="3">
        <v>2.2017</v>
      </c>
      <c r="L97" s="3"/>
      <c r="M97" s="3"/>
      <c r="N97" s="3"/>
      <c r="O97" s="3"/>
      <c r="P97" s="3"/>
      <c r="Q97" s="3"/>
      <c r="R97" s="3"/>
      <c r="S97" s="3"/>
      <c r="T97" s="3"/>
      <c r="U97" s="3"/>
    </row>
    <row r="98" ht="14.25" customHeight="1">
      <c r="A98" s="1" t="s">
        <v>608</v>
      </c>
      <c r="B98" s="1"/>
      <c r="C98" s="2" t="s">
        <v>590</v>
      </c>
      <c r="D98" s="2"/>
      <c r="E98" s="1"/>
      <c r="F98" s="2" t="s">
        <v>600</v>
      </c>
      <c r="G98" s="3"/>
      <c r="H98" s="3"/>
      <c r="I98" s="14" t="s">
        <v>257</v>
      </c>
      <c r="J98" s="3" t="s">
        <v>609</v>
      </c>
      <c r="K98" s="3">
        <v>2.2017</v>
      </c>
      <c r="L98" s="3"/>
      <c r="M98" s="3"/>
      <c r="N98" s="3"/>
      <c r="O98" s="3"/>
      <c r="P98" s="3"/>
      <c r="Q98" s="3"/>
      <c r="R98" s="3"/>
      <c r="S98" s="3"/>
      <c r="T98" s="3"/>
      <c r="U98" s="3"/>
    </row>
    <row r="99" ht="14.25" customHeight="1">
      <c r="A99" s="1" t="s">
        <v>611</v>
      </c>
      <c r="B99" s="1"/>
      <c r="C99" s="2" t="s">
        <v>590</v>
      </c>
      <c r="D99" s="2"/>
      <c r="E99" s="1"/>
      <c r="F99" s="2" t="s">
        <v>600</v>
      </c>
      <c r="G99" s="3"/>
      <c r="H99" s="3"/>
      <c r="I99" s="3"/>
      <c r="J99" s="3" t="s">
        <v>612</v>
      </c>
      <c r="K99" s="3">
        <v>1.2017</v>
      </c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ht="14.25" customHeight="1">
      <c r="A100" s="1" t="s">
        <v>614</v>
      </c>
      <c r="B100" s="1"/>
      <c r="C100" s="2" t="s">
        <v>590</v>
      </c>
      <c r="D100" s="2"/>
      <c r="E100" s="1"/>
      <c r="F100" s="2" t="s">
        <v>591</v>
      </c>
      <c r="G100" s="3"/>
      <c r="H100" s="3"/>
      <c r="I100" s="3"/>
      <c r="J100" s="3" t="s">
        <v>615</v>
      </c>
      <c r="K100" s="3">
        <v>12.2011</v>
      </c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ht="14.25" customHeight="1">
      <c r="A101" s="1" t="s">
        <v>617</v>
      </c>
      <c r="B101" s="1"/>
      <c r="C101" s="2" t="s">
        <v>590</v>
      </c>
      <c r="D101" s="2"/>
      <c r="E101" s="1"/>
      <c r="F101" s="2" t="s">
        <v>591</v>
      </c>
      <c r="G101" s="3"/>
      <c r="H101" s="3"/>
      <c r="I101" s="3"/>
      <c r="J101" s="3" t="s">
        <v>618</v>
      </c>
      <c r="K101" s="3">
        <v>8.2019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ht="15.0" customHeight="1">
      <c r="A102" s="2" t="s">
        <v>621</v>
      </c>
      <c r="B102" s="3"/>
      <c r="C102" s="2" t="s">
        <v>590</v>
      </c>
      <c r="D102" s="3"/>
      <c r="E102" s="3"/>
      <c r="F102" s="3" t="s">
        <v>622</v>
      </c>
      <c r="G102" s="3"/>
      <c r="H102" s="3"/>
      <c r="I102" s="3"/>
      <c r="J102" s="3"/>
      <c r="K102" s="3">
        <v>7.2025</v>
      </c>
      <c r="L102" s="3" t="s">
        <v>750</v>
      </c>
      <c r="M102" s="3" t="s">
        <v>624</v>
      </c>
      <c r="N102" s="3" t="s">
        <v>574</v>
      </c>
      <c r="O102" s="3" t="s">
        <v>39</v>
      </c>
      <c r="P102" s="3" t="s">
        <v>39</v>
      </c>
      <c r="Q102" s="3" t="s">
        <v>39</v>
      </c>
      <c r="R102" s="3" t="s">
        <v>574</v>
      </c>
      <c r="S102" s="3" t="s">
        <v>39</v>
      </c>
      <c r="T102" s="3" t="s">
        <v>63</v>
      </c>
      <c r="U102" s="3" t="s">
        <v>39</v>
      </c>
    </row>
    <row r="103" ht="15.0" customHeight="1">
      <c r="A103" s="2" t="s">
        <v>625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 t="s">
        <v>751</v>
      </c>
      <c r="M103" s="3" t="s">
        <v>628</v>
      </c>
      <c r="N103" s="3" t="s">
        <v>185</v>
      </c>
      <c r="O103" s="3" t="s">
        <v>155</v>
      </c>
      <c r="P103" s="3" t="s">
        <v>268</v>
      </c>
      <c r="Q103" s="3" t="s">
        <v>268</v>
      </c>
      <c r="R103" s="3" t="s">
        <v>148</v>
      </c>
      <c r="S103" s="3" t="s">
        <v>54</v>
      </c>
      <c r="T103" s="3" t="s">
        <v>588</v>
      </c>
      <c r="U103" s="3" t="s">
        <v>44</v>
      </c>
    </row>
    <row r="104" ht="15.75" customHeight="1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ht="14.25" customHeight="1">
      <c r="A105" s="1" t="s">
        <v>752</v>
      </c>
      <c r="B105" s="1"/>
      <c r="C105" s="3"/>
      <c r="D105" s="2"/>
      <c r="E105" s="1"/>
      <c r="F105" s="2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ht="14.25" customHeight="1">
      <c r="A106" s="1"/>
      <c r="B106" s="1"/>
      <c r="C106" s="2"/>
      <c r="D106" s="3"/>
      <c r="E106" s="1"/>
      <c r="F106" s="2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ht="14.25" customHeight="1">
      <c r="A107" s="1"/>
      <c r="B107" s="1" t="str">
        <f>IFERROR(__xludf.DUMMYFUNCTION("IFERROR(LET(
  rng, FILTER(C2:C1001, LEN(C2:C1001)),
  tok, TOCOL(MAP(rng, LAMBDA(x, TRIM(SPLIT(x, "","")))), 1),
  norm, LOWER(REGEXREPLACE(REGEXREPLACE(tok, ""\s*-\s*"", "" ""), ""\s+"", "" "")),
  norm2, FILTER(norm, norm&lt;&gt;""""),
  total, COUNTA(norm2)"&amp;",
  agg, QUERY(norm2, ""select Col1, count(Col1) group by Col1 label count(Col1) ''"", 0),
  maxc, MAX(INDEX(agg,,2)),
  top, FILTER(agg, INDEX(agg,,2)=maxc),
  IF(maxc&lt;=1, """", HSTACK(INDEX(top,,1), INDEX(top,,2), INDEX(top,,2)/total))
),"""")
"),"")</f>
        <v/>
      </c>
      <c r="C107" s="3" t="str">
        <f>IFERROR(__xludf.DUMMYFUNCTION("IFERROR(
  LET(
    lastRow, ROW()-1,
    raw, C2:INDEX(C:C, lastRow),
    rng, FILTER(TO_TEXT(raw), LEN(TRIM(TO_TEXT(raw)))&gt;0),
    totalRows, ROWS(rng),
    norm, LAMBDA(x, REGEXREPLACE(TRIM(x), ""\s+"", "" "")),
    perRowUnique,
      DROP(
        "&amp;"REDUCE(
          """",
          rng,
          LAMBDA(acc, r,
            LET(
              items, norm(SPLIT(r, "","")),
              uniqRow, UNIQUE(FILTER(items, items&lt;&gt;"""")),
              VSTACK(acc, uniqRow)
            )
          )
        ),"&amp;"
        1
      ),
    countsTbl, QUERY(perRowUnique, ""select Col1, count(Col1) group by Col1 label count(Col1) ''"", 0),
    maxC, MAX(INDEX(countsTbl,,2)),
    topItems, TEXTJOIN("", "", TRUE, FILTER(INDEX(countsTbl,,1), INDEX(countsTbl,,2)=maxC)),
 "&amp;"   pct, ROUND(100*maxC/totalRows, 2),
    topItems &amp; "" ("" &amp; pct &amp; ""%)""
  ),
  """"
)"),"")</f>
        <v/>
      </c>
      <c r="D107" s="3"/>
      <c r="E107" s="1"/>
      <c r="F107" s="2"/>
      <c r="G107" s="3"/>
      <c r="H107" s="3"/>
      <c r="I107" s="3"/>
      <c r="J107" s="3"/>
      <c r="K107" s="3"/>
      <c r="L107" s="3"/>
      <c r="M107" s="3" t="str">
        <f t="array" ref="M107">_xludf.LET(
  _xlpm.lastRow, ROW()-1,
  _xlpm.col, M2:INDEX(M:M2:M100M, _xlpm.lastRow),
  _xlpm.clean, _xlws.FILTER(_xlpm.col, (_xlpm.col&lt;&gt;"")*(UPPER(TRIM(""&amp;_xlpm.col))&lt;&gt;"N")*(UPPER(TRIM(""&amp;_xlpm.col))&lt;&gt;"P")),
  _xlpm.n, COUNTA(_xlpm.clean),
  IF(_xlpm.n=0, "",
    _xludf.LET(
      _xlpm.u, _xludf.UNIQUE(_xlpm.clean),
      _xlpm.k, COUNTA(_xlpm.u),
      _xlpm.freq, COUNTIF(_xlpm.clean, _xlpm.u),
      _xlpm.p, _xlpm.freq/_xlpm.n,
      _xlpm.H, -SUM(_xlpm.p*LOG(_xlpm.p,2)),
      IF(_xlpm.k&lt;=1, 0, _xlpm.H/LOG(_xlpm.k,2))
    )
  )
)</f>
        <v>#NAME?</v>
      </c>
      <c r="N107" s="3"/>
      <c r="O107" s="3"/>
      <c r="P107" s="3"/>
      <c r="Q107" s="3"/>
      <c r="R107" s="3"/>
      <c r="S107" s="3"/>
      <c r="T107" s="3"/>
      <c r="U107" s="3"/>
    </row>
    <row r="108" ht="14.25" customHeight="1">
      <c r="A108" s="97"/>
      <c r="B108" s="97"/>
      <c r="D108" s="98"/>
      <c r="E108" s="97"/>
      <c r="F108" s="98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</row>
    <row r="109" ht="14.25" customHeight="1">
      <c r="A109" s="97"/>
      <c r="B109" s="97"/>
      <c r="C109" s="98"/>
      <c r="D109" s="98"/>
      <c r="E109" s="97"/>
      <c r="F109" s="98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</row>
    <row r="110" ht="14.25" customHeight="1">
      <c r="A110" s="97"/>
      <c r="B110" s="97"/>
      <c r="C110" s="98"/>
      <c r="D110" s="98"/>
      <c r="E110" s="97"/>
      <c r="F110" s="98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</row>
    <row r="111" ht="14.25" customHeight="1">
      <c r="A111" s="97"/>
      <c r="B111" s="97"/>
      <c r="C111" s="98"/>
      <c r="D111" s="98"/>
      <c r="E111" s="97"/>
      <c r="F111" s="98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</row>
    <row r="112" ht="14.25" customHeight="1">
      <c r="A112" s="97"/>
      <c r="B112" s="97"/>
      <c r="C112" s="98"/>
      <c r="D112" s="98"/>
      <c r="E112" s="97"/>
      <c r="F112" s="98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</row>
    <row r="113" ht="14.25" customHeight="1">
      <c r="A113" s="97"/>
      <c r="B113" s="97"/>
      <c r="C113" s="98"/>
      <c r="D113" s="98"/>
      <c r="E113" s="97"/>
      <c r="F113" s="98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</row>
    <row r="114" ht="14.25" customHeight="1">
      <c r="A114" s="97"/>
      <c r="B114" s="97"/>
      <c r="C114" s="98"/>
      <c r="D114" s="98"/>
      <c r="E114" s="97"/>
      <c r="F114" s="98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</row>
    <row r="115" ht="14.25" customHeight="1">
      <c r="A115" s="97"/>
      <c r="B115" s="97"/>
      <c r="C115" s="98"/>
      <c r="D115" s="98"/>
      <c r="E115" s="97"/>
      <c r="F115" s="98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</row>
    <row r="116" ht="14.25" customHeight="1">
      <c r="A116" s="97"/>
      <c r="B116" s="97"/>
      <c r="C116" s="98"/>
      <c r="D116" s="98"/>
      <c r="E116" s="97"/>
      <c r="F116" s="98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</row>
    <row r="117" ht="14.25" customHeight="1">
      <c r="A117" s="97"/>
      <c r="B117" s="97"/>
      <c r="C117" s="98"/>
      <c r="D117" s="98"/>
      <c r="E117" s="97"/>
      <c r="F117" s="98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</row>
    <row r="118" ht="14.25" customHeight="1">
      <c r="A118" s="97"/>
      <c r="B118" s="97"/>
      <c r="C118" s="98"/>
      <c r="D118" s="98"/>
      <c r="E118" s="97"/>
      <c r="F118" s="98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</row>
    <row r="119" ht="14.25" customHeight="1">
      <c r="A119" s="97"/>
      <c r="B119" s="97"/>
      <c r="C119" s="98"/>
      <c r="D119" s="98"/>
      <c r="E119" s="97"/>
      <c r="F119" s="98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</row>
    <row r="120" ht="14.25" customHeight="1">
      <c r="A120" s="97"/>
      <c r="B120" s="97"/>
      <c r="C120" s="98"/>
      <c r="D120" s="98"/>
      <c r="E120" s="97"/>
      <c r="F120" s="98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</row>
    <row r="121" ht="14.25" customHeight="1">
      <c r="A121" s="97"/>
      <c r="B121" s="97"/>
      <c r="C121" s="98"/>
      <c r="D121" s="98"/>
      <c r="E121" s="97"/>
      <c r="F121" s="98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</row>
    <row r="122" ht="14.25" customHeight="1">
      <c r="A122" s="97"/>
      <c r="B122" s="97"/>
      <c r="C122" s="98"/>
      <c r="D122" s="98"/>
      <c r="E122" s="97"/>
      <c r="F122" s="98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</row>
    <row r="123" ht="14.25" customHeight="1">
      <c r="A123" s="97"/>
      <c r="B123" s="97"/>
      <c r="C123" s="98"/>
      <c r="D123" s="98"/>
      <c r="E123" s="97"/>
      <c r="F123" s="98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</row>
    <row r="124" ht="14.25" customHeight="1">
      <c r="A124" s="97"/>
      <c r="B124" s="97"/>
      <c r="C124" s="98"/>
      <c r="D124" s="98"/>
      <c r="E124" s="97"/>
      <c r="F124" s="98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</row>
    <row r="125" ht="14.25" customHeight="1">
      <c r="A125" s="97"/>
      <c r="B125" s="97"/>
      <c r="C125" s="98"/>
      <c r="D125" s="98"/>
      <c r="E125" s="97"/>
      <c r="F125" s="98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</row>
    <row r="126" ht="14.25" customHeight="1">
      <c r="A126" s="97"/>
      <c r="B126" s="97"/>
      <c r="C126" s="98"/>
      <c r="D126" s="98"/>
      <c r="E126" s="97"/>
      <c r="F126" s="98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</row>
    <row r="127" ht="14.25" customHeight="1">
      <c r="A127" s="97"/>
      <c r="B127" s="97"/>
      <c r="C127" s="98"/>
      <c r="D127" s="98"/>
      <c r="E127" s="97"/>
      <c r="F127" s="98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</row>
    <row r="128" ht="14.25" customHeight="1">
      <c r="A128" s="97"/>
      <c r="B128" s="97"/>
      <c r="C128" s="98"/>
      <c r="D128" s="98"/>
      <c r="E128" s="97"/>
      <c r="F128" s="98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</row>
    <row r="129" ht="14.25" customHeight="1">
      <c r="A129" s="97"/>
      <c r="B129" s="97"/>
      <c r="C129" s="98"/>
      <c r="D129" s="98"/>
      <c r="E129" s="97"/>
      <c r="F129" s="98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</row>
    <row r="130" ht="14.25" customHeight="1">
      <c r="A130" s="97"/>
      <c r="B130" s="97"/>
      <c r="C130" s="98"/>
      <c r="D130" s="98"/>
      <c r="E130" s="97"/>
      <c r="F130" s="98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</row>
    <row r="131" ht="14.25" customHeight="1">
      <c r="A131" s="97"/>
      <c r="B131" s="97"/>
      <c r="C131" s="98"/>
      <c r="D131" s="98"/>
      <c r="E131" s="97"/>
      <c r="F131" s="98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</row>
    <row r="132" ht="14.25" customHeight="1">
      <c r="A132" s="97"/>
      <c r="B132" s="97"/>
      <c r="C132" s="98"/>
      <c r="D132" s="98"/>
      <c r="E132" s="97"/>
      <c r="F132" s="98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</row>
    <row r="133" ht="14.25" customHeight="1">
      <c r="A133" s="97"/>
      <c r="B133" s="97"/>
      <c r="C133" s="98"/>
      <c r="D133" s="98"/>
      <c r="E133" s="97"/>
      <c r="F133" s="98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</row>
    <row r="134" ht="14.25" customHeight="1">
      <c r="A134" s="97"/>
      <c r="B134" s="97"/>
      <c r="C134" s="98"/>
      <c r="D134" s="98"/>
      <c r="E134" s="97"/>
      <c r="F134" s="98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</row>
    <row r="135" ht="14.25" customHeight="1">
      <c r="A135" s="97"/>
      <c r="B135" s="97"/>
      <c r="C135" s="98"/>
      <c r="D135" s="98"/>
      <c r="E135" s="97"/>
      <c r="F135" s="98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</row>
    <row r="136" ht="14.25" customHeight="1">
      <c r="A136" s="97"/>
      <c r="B136" s="97"/>
      <c r="C136" s="98"/>
      <c r="D136" s="98"/>
      <c r="E136" s="97"/>
      <c r="F136" s="98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</row>
    <row r="137" ht="14.25" customHeight="1">
      <c r="A137" s="97"/>
      <c r="B137" s="97"/>
      <c r="C137" s="98"/>
      <c r="D137" s="98"/>
      <c r="E137" s="97"/>
      <c r="F137" s="98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</row>
    <row r="138" ht="14.25" customHeight="1">
      <c r="A138" s="97"/>
      <c r="B138" s="97"/>
      <c r="C138" s="98"/>
      <c r="D138" s="98"/>
      <c r="E138" s="97"/>
      <c r="F138" s="98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</row>
    <row r="139" ht="14.25" customHeight="1">
      <c r="A139" s="97"/>
      <c r="B139" s="97"/>
      <c r="C139" s="98"/>
      <c r="D139" s="98"/>
      <c r="E139" s="97"/>
      <c r="F139" s="98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</row>
    <row r="140" ht="14.25" customHeight="1">
      <c r="A140" s="97"/>
      <c r="B140" s="97"/>
      <c r="C140" s="98"/>
      <c r="D140" s="98"/>
      <c r="E140" s="97"/>
      <c r="F140" s="98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</row>
    <row r="141" ht="14.25" customHeight="1">
      <c r="A141" s="97"/>
      <c r="B141" s="97"/>
      <c r="C141" s="98"/>
      <c r="D141" s="98"/>
      <c r="E141" s="97"/>
      <c r="F141" s="98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</row>
    <row r="142" ht="14.25" customHeight="1">
      <c r="A142" s="97"/>
      <c r="B142" s="97"/>
      <c r="C142" s="98"/>
      <c r="D142" s="98"/>
      <c r="E142" s="97"/>
      <c r="F142" s="98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</row>
    <row r="143" ht="14.25" customHeight="1">
      <c r="A143" s="97"/>
      <c r="B143" s="97"/>
      <c r="C143" s="98"/>
      <c r="D143" s="98"/>
      <c r="E143" s="97"/>
      <c r="F143" s="98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</row>
    <row r="144" ht="14.25" customHeight="1">
      <c r="A144" s="97"/>
      <c r="B144" s="97"/>
      <c r="C144" s="98"/>
      <c r="D144" s="98"/>
      <c r="E144" s="97"/>
      <c r="F144" s="98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</row>
    <row r="145" ht="14.25" customHeight="1">
      <c r="A145" s="97"/>
      <c r="B145" s="97"/>
      <c r="C145" s="98"/>
      <c r="D145" s="98"/>
      <c r="E145" s="97"/>
      <c r="F145" s="98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</row>
    <row r="146" ht="14.25" customHeight="1">
      <c r="A146" s="97"/>
      <c r="B146" s="97"/>
      <c r="C146" s="98"/>
      <c r="D146" s="98"/>
      <c r="E146" s="97"/>
      <c r="F146" s="98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</row>
    <row r="147" ht="14.25" customHeight="1">
      <c r="A147" s="97"/>
      <c r="B147" s="97"/>
      <c r="C147" s="98"/>
      <c r="D147" s="98"/>
      <c r="E147" s="97"/>
      <c r="F147" s="98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</row>
    <row r="148" ht="14.25" customHeight="1">
      <c r="A148" s="97"/>
      <c r="B148" s="97"/>
      <c r="C148" s="98"/>
      <c r="D148" s="98"/>
      <c r="E148" s="97"/>
      <c r="F148" s="98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</row>
    <row r="149" ht="14.25" customHeight="1">
      <c r="A149" s="97"/>
      <c r="B149" s="97"/>
      <c r="C149" s="98"/>
      <c r="D149" s="98"/>
      <c r="E149" s="97"/>
      <c r="F149" s="98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</row>
    <row r="150" ht="14.25" customHeight="1">
      <c r="A150" s="97"/>
      <c r="B150" s="97"/>
      <c r="C150" s="98"/>
      <c r="D150" s="98"/>
      <c r="E150" s="97"/>
      <c r="F150" s="98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</row>
    <row r="151" ht="14.25" customHeight="1">
      <c r="A151" s="97"/>
      <c r="B151" s="97"/>
      <c r="C151" s="98"/>
      <c r="D151" s="98"/>
      <c r="E151" s="97"/>
      <c r="F151" s="98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</row>
    <row r="152" ht="14.25" customHeight="1">
      <c r="A152" s="97"/>
      <c r="B152" s="97"/>
      <c r="C152" s="98"/>
      <c r="D152" s="98"/>
      <c r="E152" s="97"/>
      <c r="F152" s="98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</row>
    <row r="153" ht="14.25" customHeight="1">
      <c r="A153" s="97"/>
      <c r="B153" s="97"/>
      <c r="C153" s="98"/>
      <c r="D153" s="98"/>
      <c r="E153" s="97"/>
      <c r="F153" s="98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</row>
    <row r="154" ht="14.25" customHeight="1">
      <c r="A154" s="97"/>
      <c r="B154" s="97"/>
      <c r="C154" s="98"/>
      <c r="D154" s="98"/>
      <c r="E154" s="97"/>
      <c r="F154" s="98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</row>
    <row r="155" ht="14.25" customHeight="1">
      <c r="A155" s="97"/>
      <c r="B155" s="97"/>
      <c r="C155" s="98"/>
      <c r="D155" s="98"/>
      <c r="E155" s="97"/>
      <c r="F155" s="98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</row>
    <row r="156" ht="14.25" customHeight="1">
      <c r="A156" s="97"/>
      <c r="B156" s="97"/>
      <c r="C156" s="98"/>
      <c r="D156" s="98"/>
      <c r="E156" s="97"/>
      <c r="F156" s="98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</row>
    <row r="157" ht="14.25" customHeight="1">
      <c r="A157" s="97"/>
      <c r="B157" s="97"/>
      <c r="C157" s="98"/>
      <c r="D157" s="98"/>
      <c r="E157" s="97"/>
      <c r="F157" s="98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</row>
    <row r="158" ht="14.25" customHeight="1">
      <c r="A158" s="97"/>
      <c r="B158" s="97"/>
      <c r="C158" s="98"/>
      <c r="D158" s="98"/>
      <c r="E158" s="97"/>
      <c r="F158" s="98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</row>
    <row r="159" ht="14.25" customHeight="1">
      <c r="A159" s="97"/>
      <c r="B159" s="97"/>
      <c r="C159" s="98"/>
      <c r="D159" s="98"/>
      <c r="E159" s="97"/>
      <c r="F159" s="98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</row>
    <row r="160" ht="14.25" customHeight="1">
      <c r="A160" s="97"/>
      <c r="B160" s="97"/>
      <c r="C160" s="98"/>
      <c r="D160" s="98"/>
      <c r="E160" s="97"/>
      <c r="F160" s="98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</row>
    <row r="161" ht="14.25" customHeight="1">
      <c r="A161" s="97"/>
      <c r="B161" s="97"/>
      <c r="C161" s="98"/>
      <c r="D161" s="98"/>
      <c r="E161" s="97"/>
      <c r="F161" s="98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</row>
    <row r="162" ht="14.25" customHeight="1">
      <c r="A162" s="97"/>
      <c r="B162" s="97"/>
      <c r="C162" s="98"/>
      <c r="D162" s="98"/>
      <c r="E162" s="97"/>
      <c r="F162" s="98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</row>
    <row r="163" ht="14.25" customHeight="1">
      <c r="A163" s="97"/>
      <c r="B163" s="97"/>
      <c r="C163" s="98"/>
      <c r="D163" s="98"/>
      <c r="E163" s="97"/>
      <c r="F163" s="98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</row>
    <row r="164" ht="14.25" customHeight="1">
      <c r="A164" s="97"/>
      <c r="B164" s="97"/>
      <c r="C164" s="98"/>
      <c r="D164" s="98"/>
      <c r="E164" s="97"/>
      <c r="F164" s="98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</row>
    <row r="165" ht="14.25" customHeight="1">
      <c r="A165" s="97"/>
      <c r="B165" s="97"/>
      <c r="C165" s="98"/>
      <c r="D165" s="98"/>
      <c r="E165" s="97"/>
      <c r="F165" s="98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</row>
    <row r="166" ht="14.25" customHeight="1">
      <c r="A166" s="97"/>
      <c r="B166" s="97"/>
      <c r="C166" s="98"/>
      <c r="D166" s="98"/>
      <c r="E166" s="97"/>
      <c r="F166" s="98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</row>
    <row r="167" ht="14.25" customHeight="1">
      <c r="A167" s="97"/>
      <c r="B167" s="97"/>
      <c r="C167" s="98"/>
      <c r="D167" s="98"/>
      <c r="E167" s="97"/>
      <c r="F167" s="98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</row>
    <row r="168" ht="14.25" customHeight="1">
      <c r="A168" s="97"/>
      <c r="B168" s="97"/>
      <c r="C168" s="98"/>
      <c r="D168" s="98"/>
      <c r="E168" s="97"/>
      <c r="F168" s="98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</row>
    <row r="169" ht="14.25" customHeight="1">
      <c r="A169" s="97"/>
      <c r="B169" s="97"/>
      <c r="C169" s="98"/>
      <c r="D169" s="98"/>
      <c r="E169" s="97"/>
      <c r="F169" s="98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</row>
    <row r="170" ht="14.25" customHeight="1">
      <c r="A170" s="97"/>
      <c r="B170" s="97"/>
      <c r="C170" s="98"/>
      <c r="D170" s="98"/>
      <c r="E170" s="97"/>
      <c r="F170" s="98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</row>
    <row r="171" ht="14.25" customHeight="1">
      <c r="A171" s="97"/>
      <c r="B171" s="97"/>
      <c r="C171" s="98"/>
      <c r="D171" s="98"/>
      <c r="E171" s="97"/>
      <c r="F171" s="98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</row>
    <row r="172" ht="14.25" customHeight="1">
      <c r="A172" s="97"/>
      <c r="B172" s="97"/>
      <c r="C172" s="98"/>
      <c r="D172" s="98"/>
      <c r="E172" s="97"/>
      <c r="F172" s="98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</row>
    <row r="173" ht="14.25" customHeight="1">
      <c r="A173" s="97"/>
      <c r="B173" s="97"/>
      <c r="C173" s="98"/>
      <c r="D173" s="98"/>
      <c r="E173" s="97"/>
      <c r="F173" s="98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</row>
    <row r="174" ht="14.25" customHeight="1">
      <c r="A174" s="97"/>
      <c r="B174" s="97"/>
      <c r="C174" s="98"/>
      <c r="D174" s="98"/>
      <c r="E174" s="97"/>
      <c r="F174" s="98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</row>
    <row r="175" ht="14.25" customHeight="1">
      <c r="A175" s="97"/>
      <c r="B175" s="97"/>
      <c r="C175" s="98"/>
      <c r="D175" s="98"/>
      <c r="E175" s="97"/>
      <c r="F175" s="98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</row>
    <row r="176" ht="14.25" customHeight="1">
      <c r="A176" s="97"/>
      <c r="B176" s="97"/>
      <c r="C176" s="98"/>
      <c r="D176" s="98"/>
      <c r="E176" s="97"/>
      <c r="F176" s="98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</row>
    <row r="177" ht="14.25" customHeight="1">
      <c r="A177" s="97"/>
      <c r="B177" s="97"/>
      <c r="C177" s="98"/>
      <c r="D177" s="98"/>
      <c r="E177" s="97"/>
      <c r="F177" s="98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</row>
    <row r="178" ht="14.25" customHeight="1">
      <c r="A178" s="97"/>
      <c r="B178" s="97"/>
      <c r="C178" s="98"/>
      <c r="D178" s="98"/>
      <c r="E178" s="97"/>
      <c r="F178" s="98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</row>
    <row r="179" ht="14.25" customHeight="1">
      <c r="A179" s="97"/>
      <c r="B179" s="97"/>
      <c r="C179" s="98"/>
      <c r="D179" s="98"/>
      <c r="E179" s="97"/>
      <c r="F179" s="98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</row>
    <row r="180" ht="14.25" customHeight="1">
      <c r="A180" s="97"/>
      <c r="B180" s="97"/>
      <c r="C180" s="98"/>
      <c r="D180" s="98"/>
      <c r="E180" s="97"/>
      <c r="F180" s="98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</row>
    <row r="181" ht="14.25" customHeight="1">
      <c r="A181" s="97"/>
      <c r="B181" s="97"/>
      <c r="C181" s="98"/>
      <c r="D181" s="98"/>
      <c r="E181" s="97"/>
      <c r="F181" s="98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</row>
    <row r="182" ht="14.25" customHeight="1">
      <c r="A182" s="97"/>
      <c r="B182" s="97"/>
      <c r="C182" s="98"/>
      <c r="D182" s="98"/>
      <c r="E182" s="97"/>
      <c r="F182" s="98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</row>
    <row r="183" ht="14.25" customHeight="1">
      <c r="A183" s="97"/>
      <c r="B183" s="97"/>
      <c r="C183" s="98"/>
      <c r="D183" s="98"/>
      <c r="E183" s="97"/>
      <c r="F183" s="98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</row>
    <row r="184" ht="14.25" customHeight="1">
      <c r="A184" s="97"/>
      <c r="B184" s="97"/>
      <c r="C184" s="98"/>
      <c r="D184" s="98"/>
      <c r="E184" s="97"/>
      <c r="F184" s="98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</row>
    <row r="185" ht="14.25" customHeight="1">
      <c r="A185" s="97"/>
      <c r="B185" s="97"/>
      <c r="C185" s="98"/>
      <c r="D185" s="98"/>
      <c r="E185" s="97"/>
      <c r="F185" s="98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</row>
    <row r="186" ht="14.25" customHeight="1">
      <c r="A186" s="97"/>
      <c r="B186" s="97"/>
      <c r="C186" s="98"/>
      <c r="D186" s="98"/>
      <c r="E186" s="97"/>
      <c r="F186" s="98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</row>
    <row r="187" ht="14.25" customHeight="1">
      <c r="A187" s="97"/>
      <c r="B187" s="97"/>
      <c r="C187" s="98"/>
      <c r="D187" s="98"/>
      <c r="E187" s="97"/>
      <c r="F187" s="98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</row>
    <row r="188" ht="14.25" customHeight="1">
      <c r="A188" s="97"/>
      <c r="B188" s="97"/>
      <c r="C188" s="98"/>
      <c r="D188" s="98"/>
      <c r="E188" s="97"/>
      <c r="F188" s="98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</row>
    <row r="189" ht="14.25" customHeight="1">
      <c r="A189" s="97"/>
      <c r="B189" s="97"/>
      <c r="C189" s="98"/>
      <c r="D189" s="98"/>
      <c r="E189" s="97"/>
      <c r="F189" s="98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</row>
    <row r="190" ht="14.25" customHeight="1">
      <c r="A190" s="97"/>
      <c r="B190" s="97"/>
      <c r="C190" s="98"/>
      <c r="D190" s="98"/>
      <c r="E190" s="97"/>
      <c r="F190" s="98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</row>
    <row r="191" ht="14.25" customHeight="1">
      <c r="A191" s="97"/>
      <c r="B191" s="97"/>
      <c r="C191" s="98"/>
      <c r="D191" s="98"/>
      <c r="E191" s="97"/>
      <c r="F191" s="98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</row>
    <row r="192" ht="14.25" customHeight="1">
      <c r="A192" s="97"/>
      <c r="B192" s="97"/>
      <c r="C192" s="98"/>
      <c r="D192" s="98"/>
      <c r="E192" s="97"/>
      <c r="F192" s="98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</row>
    <row r="193" ht="14.25" customHeight="1">
      <c r="A193" s="97"/>
      <c r="B193" s="97"/>
      <c r="C193" s="98"/>
      <c r="D193" s="98"/>
      <c r="E193" s="97"/>
      <c r="F193" s="98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</row>
    <row r="194" ht="14.25" customHeight="1">
      <c r="A194" s="97"/>
      <c r="B194" s="97"/>
      <c r="C194" s="98"/>
      <c r="D194" s="98"/>
      <c r="E194" s="97"/>
      <c r="F194" s="98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</row>
    <row r="195" ht="14.25" customHeight="1">
      <c r="A195" s="97"/>
      <c r="B195" s="97"/>
      <c r="C195" s="98"/>
      <c r="D195" s="98"/>
      <c r="E195" s="97"/>
      <c r="F195" s="98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</row>
    <row r="196" ht="14.25" customHeight="1">
      <c r="A196" s="97"/>
      <c r="B196" s="97"/>
      <c r="C196" s="98"/>
      <c r="D196" s="98"/>
      <c r="E196" s="97"/>
      <c r="F196" s="98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</row>
    <row r="197" ht="14.25" customHeight="1">
      <c r="A197" s="97"/>
      <c r="B197" s="97"/>
      <c r="C197" s="98"/>
      <c r="D197" s="98"/>
      <c r="E197" s="97"/>
      <c r="F197" s="98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</row>
    <row r="198" ht="14.25" customHeight="1">
      <c r="A198" s="97"/>
      <c r="B198" s="97"/>
      <c r="C198" s="98"/>
      <c r="D198" s="98"/>
      <c r="E198" s="97"/>
      <c r="F198" s="98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</row>
    <row r="199" ht="14.25" customHeight="1">
      <c r="A199" s="97"/>
      <c r="B199" s="97"/>
      <c r="C199" s="98"/>
      <c r="D199" s="98"/>
      <c r="E199" s="97"/>
      <c r="F199" s="98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</row>
    <row r="200" ht="14.25" customHeight="1">
      <c r="A200" s="97"/>
      <c r="B200" s="97"/>
      <c r="C200" s="98"/>
      <c r="D200" s="98"/>
      <c r="E200" s="97"/>
      <c r="F200" s="98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</row>
    <row r="201" ht="14.25" customHeight="1">
      <c r="A201" s="97"/>
      <c r="B201" s="97"/>
      <c r="C201" s="98"/>
      <c r="D201" s="98"/>
      <c r="E201" s="97"/>
      <c r="F201" s="98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</row>
    <row r="202" ht="14.25" customHeight="1">
      <c r="A202" s="97"/>
      <c r="B202" s="97"/>
      <c r="C202" s="98"/>
      <c r="D202" s="98"/>
      <c r="E202" s="97"/>
      <c r="F202" s="98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</row>
    <row r="203" ht="14.25" customHeight="1">
      <c r="A203" s="97"/>
      <c r="B203" s="97"/>
      <c r="C203" s="98"/>
      <c r="D203" s="98"/>
      <c r="E203" s="97"/>
      <c r="F203" s="98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</row>
    <row r="204" ht="14.25" customHeight="1">
      <c r="A204" s="97"/>
      <c r="B204" s="97"/>
      <c r="C204" s="98"/>
      <c r="D204" s="98"/>
      <c r="E204" s="97"/>
      <c r="F204" s="98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</row>
    <row r="205" ht="14.25" customHeight="1">
      <c r="A205" s="97"/>
      <c r="B205" s="97"/>
      <c r="C205" s="98"/>
      <c r="D205" s="98"/>
      <c r="E205" s="97"/>
      <c r="F205" s="98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</row>
    <row r="206" ht="14.25" customHeight="1">
      <c r="A206" s="97"/>
      <c r="B206" s="97"/>
      <c r="C206" s="98"/>
      <c r="D206" s="98"/>
      <c r="E206" s="97"/>
      <c r="F206" s="98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</row>
    <row r="207" ht="14.25" customHeight="1">
      <c r="A207" s="97"/>
      <c r="B207" s="97"/>
      <c r="C207" s="98"/>
      <c r="D207" s="98"/>
      <c r="E207" s="97"/>
      <c r="F207" s="98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</row>
    <row r="208" ht="14.25" customHeight="1">
      <c r="A208" s="97"/>
      <c r="B208" s="97"/>
      <c r="C208" s="98"/>
      <c r="D208" s="98"/>
      <c r="E208" s="97"/>
      <c r="F208" s="98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</row>
    <row r="209" ht="14.25" customHeight="1">
      <c r="A209" s="97"/>
      <c r="B209" s="97"/>
      <c r="C209" s="98"/>
      <c r="D209" s="98"/>
      <c r="E209" s="97"/>
      <c r="F209" s="98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</row>
    <row r="210" ht="14.25" customHeight="1">
      <c r="A210" s="97"/>
      <c r="B210" s="97"/>
      <c r="C210" s="98"/>
      <c r="D210" s="98"/>
      <c r="E210" s="97"/>
      <c r="F210" s="98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</row>
    <row r="211" ht="14.25" customHeight="1">
      <c r="A211" s="97"/>
      <c r="B211" s="97"/>
      <c r="C211" s="98"/>
      <c r="D211" s="98"/>
      <c r="E211" s="97"/>
      <c r="F211" s="98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</row>
    <row r="212" ht="14.25" customHeight="1">
      <c r="A212" s="97"/>
      <c r="B212" s="97"/>
      <c r="C212" s="98"/>
      <c r="D212" s="98"/>
      <c r="E212" s="97"/>
      <c r="F212" s="98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</row>
    <row r="213" ht="14.25" customHeight="1">
      <c r="A213" s="97"/>
      <c r="B213" s="97"/>
      <c r="C213" s="98"/>
      <c r="D213" s="98"/>
      <c r="E213" s="97"/>
      <c r="F213" s="98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</row>
    <row r="214" ht="14.25" customHeight="1">
      <c r="A214" s="97"/>
      <c r="B214" s="97"/>
      <c r="C214" s="98"/>
      <c r="D214" s="98"/>
      <c r="E214" s="97"/>
      <c r="F214" s="98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</row>
    <row r="215" ht="14.25" customHeight="1">
      <c r="A215" s="97"/>
      <c r="B215" s="97"/>
      <c r="C215" s="98"/>
      <c r="D215" s="98"/>
      <c r="E215" s="97"/>
      <c r="F215" s="98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</row>
    <row r="216" ht="14.25" customHeight="1">
      <c r="A216" s="97"/>
      <c r="B216" s="97"/>
      <c r="C216" s="98"/>
      <c r="D216" s="98"/>
      <c r="E216" s="97"/>
      <c r="F216" s="98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</row>
    <row r="217" ht="14.25" customHeight="1">
      <c r="A217" s="97"/>
      <c r="B217" s="97"/>
      <c r="C217" s="98"/>
      <c r="D217" s="98"/>
      <c r="E217" s="97"/>
      <c r="F217" s="98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</row>
    <row r="218" ht="14.25" customHeight="1">
      <c r="A218" s="97"/>
      <c r="B218" s="97"/>
      <c r="C218" s="98"/>
      <c r="D218" s="98"/>
      <c r="E218" s="97"/>
      <c r="F218" s="98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</row>
    <row r="219" ht="14.25" customHeight="1">
      <c r="A219" s="97"/>
      <c r="B219" s="97"/>
      <c r="C219" s="98"/>
      <c r="D219" s="98"/>
      <c r="E219" s="97"/>
      <c r="F219" s="98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</row>
    <row r="220" ht="14.25" customHeight="1">
      <c r="A220" s="97"/>
      <c r="B220" s="97"/>
      <c r="C220" s="98"/>
      <c r="D220" s="98"/>
      <c r="E220" s="97"/>
      <c r="F220" s="98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</row>
    <row r="221" ht="14.25" customHeight="1">
      <c r="A221" s="97"/>
      <c r="B221" s="97"/>
      <c r="C221" s="98"/>
      <c r="D221" s="98"/>
      <c r="E221" s="97"/>
      <c r="F221" s="98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</row>
    <row r="222" ht="14.25" customHeight="1">
      <c r="A222" s="97"/>
      <c r="B222" s="97"/>
      <c r="C222" s="98"/>
      <c r="D222" s="98"/>
      <c r="E222" s="97"/>
      <c r="F222" s="98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</row>
    <row r="223" ht="14.25" customHeight="1">
      <c r="A223" s="97"/>
      <c r="B223" s="97"/>
      <c r="C223" s="98"/>
      <c r="D223" s="98"/>
      <c r="E223" s="97"/>
      <c r="F223" s="98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</row>
    <row r="224" ht="14.25" customHeight="1">
      <c r="A224" s="97"/>
      <c r="B224" s="97"/>
      <c r="C224" s="98"/>
      <c r="D224" s="98"/>
      <c r="E224" s="97"/>
      <c r="F224" s="98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</row>
    <row r="225" ht="14.25" customHeight="1">
      <c r="A225" s="97"/>
      <c r="B225" s="97"/>
      <c r="C225" s="98"/>
      <c r="D225" s="98"/>
      <c r="E225" s="97"/>
      <c r="F225" s="98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</row>
    <row r="226" ht="14.25" customHeight="1">
      <c r="A226" s="97"/>
      <c r="B226" s="97"/>
      <c r="C226" s="98"/>
      <c r="D226" s="98"/>
      <c r="E226" s="97"/>
      <c r="F226" s="98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</row>
    <row r="227" ht="14.25" customHeight="1">
      <c r="A227" s="97"/>
      <c r="B227" s="97"/>
      <c r="C227" s="98"/>
      <c r="D227" s="98"/>
      <c r="E227" s="97"/>
      <c r="F227" s="98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</row>
    <row r="228" ht="14.25" customHeight="1">
      <c r="A228" s="97"/>
      <c r="B228" s="97"/>
      <c r="C228" s="98"/>
      <c r="D228" s="98"/>
      <c r="E228" s="97"/>
      <c r="F228" s="98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</row>
    <row r="229" ht="14.25" customHeight="1">
      <c r="A229" s="97"/>
      <c r="B229" s="97"/>
      <c r="C229" s="98"/>
      <c r="D229" s="98"/>
      <c r="E229" s="97"/>
      <c r="F229" s="98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</row>
    <row r="230" ht="14.25" customHeight="1">
      <c r="A230" s="97"/>
      <c r="B230" s="97"/>
      <c r="C230" s="98"/>
      <c r="D230" s="98"/>
      <c r="E230" s="97"/>
      <c r="F230" s="98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</row>
    <row r="231" ht="14.25" customHeight="1">
      <c r="A231" s="97"/>
      <c r="B231" s="97"/>
      <c r="C231" s="98"/>
      <c r="D231" s="98"/>
      <c r="E231" s="97"/>
      <c r="F231" s="98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</row>
    <row r="232" ht="14.25" customHeight="1">
      <c r="A232" s="97"/>
      <c r="B232" s="97"/>
      <c r="C232" s="98"/>
      <c r="D232" s="98"/>
      <c r="E232" s="97"/>
      <c r="F232" s="98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</row>
    <row r="233" ht="14.25" customHeight="1">
      <c r="A233" s="97"/>
      <c r="B233" s="97"/>
      <c r="C233" s="98"/>
      <c r="D233" s="98"/>
      <c r="E233" s="97"/>
      <c r="F233" s="98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</row>
    <row r="234" ht="14.25" customHeight="1">
      <c r="A234" s="97"/>
      <c r="B234" s="97"/>
      <c r="C234" s="98"/>
      <c r="D234" s="98"/>
      <c r="E234" s="97"/>
      <c r="F234" s="98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</row>
    <row r="235" ht="14.25" customHeight="1">
      <c r="A235" s="97"/>
      <c r="B235" s="97"/>
      <c r="C235" s="98"/>
      <c r="D235" s="98"/>
      <c r="E235" s="97"/>
      <c r="F235" s="98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</row>
    <row r="236" ht="14.25" customHeight="1">
      <c r="A236" s="97"/>
      <c r="B236" s="97"/>
      <c r="C236" s="98"/>
      <c r="D236" s="98"/>
      <c r="E236" s="97"/>
      <c r="F236" s="98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</row>
    <row r="237" ht="14.25" customHeight="1">
      <c r="A237" s="97"/>
      <c r="B237" s="97"/>
      <c r="C237" s="98"/>
      <c r="D237" s="98"/>
      <c r="E237" s="97"/>
      <c r="F237" s="98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</row>
    <row r="238" ht="14.25" customHeight="1">
      <c r="A238" s="97"/>
      <c r="B238" s="97"/>
      <c r="C238" s="98"/>
      <c r="D238" s="98"/>
      <c r="E238" s="97"/>
      <c r="F238" s="98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</row>
    <row r="239" ht="14.25" customHeight="1">
      <c r="A239" s="97"/>
      <c r="B239" s="97"/>
      <c r="C239" s="98"/>
      <c r="D239" s="98"/>
      <c r="E239" s="97"/>
      <c r="F239" s="98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</row>
    <row r="240" ht="14.25" customHeight="1">
      <c r="A240" s="97"/>
      <c r="B240" s="97"/>
      <c r="C240" s="98"/>
      <c r="D240" s="98"/>
      <c r="E240" s="97"/>
      <c r="F240" s="98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</row>
    <row r="241" ht="14.25" customHeight="1">
      <c r="A241" s="97"/>
      <c r="B241" s="97"/>
      <c r="C241" s="98"/>
      <c r="D241" s="98"/>
      <c r="E241" s="97"/>
      <c r="F241" s="98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</row>
    <row r="242" ht="14.25" customHeight="1">
      <c r="A242" s="97"/>
      <c r="B242" s="97"/>
      <c r="C242" s="98"/>
      <c r="D242" s="98"/>
      <c r="E242" s="97"/>
      <c r="F242" s="98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</row>
    <row r="243" ht="14.25" customHeight="1">
      <c r="A243" s="97"/>
      <c r="B243" s="97"/>
      <c r="C243" s="98"/>
      <c r="D243" s="98"/>
      <c r="E243" s="97"/>
      <c r="F243" s="98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</row>
    <row r="244" ht="14.25" customHeight="1">
      <c r="A244" s="97"/>
      <c r="B244" s="97"/>
      <c r="C244" s="98"/>
      <c r="D244" s="98"/>
      <c r="E244" s="97"/>
      <c r="F244" s="98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</row>
    <row r="245" ht="14.25" customHeight="1">
      <c r="A245" s="97"/>
      <c r="B245" s="97"/>
      <c r="C245" s="98"/>
      <c r="D245" s="98"/>
      <c r="E245" s="97"/>
      <c r="F245" s="98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</row>
    <row r="246" ht="14.25" customHeight="1">
      <c r="A246" s="97"/>
      <c r="B246" s="97"/>
      <c r="C246" s="98"/>
      <c r="D246" s="98"/>
      <c r="E246" s="97"/>
      <c r="F246" s="98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</row>
    <row r="247" ht="14.25" customHeight="1">
      <c r="A247" s="97"/>
      <c r="B247" s="97"/>
      <c r="C247" s="98"/>
      <c r="D247" s="98"/>
      <c r="E247" s="97"/>
      <c r="F247" s="98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</row>
    <row r="248" ht="14.25" customHeight="1">
      <c r="A248" s="97"/>
      <c r="B248" s="97"/>
      <c r="C248" s="98"/>
      <c r="D248" s="98"/>
      <c r="E248" s="97"/>
      <c r="F248" s="98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</row>
    <row r="249" ht="14.25" customHeight="1">
      <c r="A249" s="97"/>
      <c r="B249" s="97"/>
      <c r="C249" s="98"/>
      <c r="D249" s="98"/>
      <c r="E249" s="97"/>
      <c r="F249" s="98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</row>
    <row r="250" ht="14.25" customHeight="1">
      <c r="A250" s="97"/>
      <c r="B250" s="97"/>
      <c r="C250" s="98"/>
      <c r="D250" s="98"/>
      <c r="E250" s="97"/>
      <c r="F250" s="98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</row>
    <row r="251" ht="14.25" customHeight="1">
      <c r="A251" s="97"/>
      <c r="B251" s="97"/>
      <c r="C251" s="98"/>
      <c r="D251" s="98"/>
      <c r="E251" s="97"/>
      <c r="F251" s="98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</row>
    <row r="252" ht="14.25" customHeight="1">
      <c r="A252" s="97"/>
      <c r="B252" s="97"/>
      <c r="C252" s="98"/>
      <c r="D252" s="98"/>
      <c r="E252" s="97"/>
      <c r="F252" s="98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</row>
    <row r="253" ht="14.25" customHeight="1">
      <c r="A253" s="97"/>
      <c r="B253" s="97"/>
      <c r="C253" s="98"/>
      <c r="D253" s="98"/>
      <c r="E253" s="97"/>
      <c r="F253" s="98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</row>
    <row r="254" ht="14.25" customHeight="1">
      <c r="A254" s="97"/>
      <c r="B254" s="97"/>
      <c r="C254" s="98"/>
      <c r="D254" s="98"/>
      <c r="E254" s="97"/>
      <c r="F254" s="98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</row>
    <row r="255" ht="14.25" customHeight="1">
      <c r="A255" s="97"/>
      <c r="B255" s="97"/>
      <c r="C255" s="98"/>
      <c r="D255" s="98"/>
      <c r="E255" s="97"/>
      <c r="F255" s="98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</row>
    <row r="256" ht="14.25" customHeight="1">
      <c r="A256" s="97"/>
      <c r="B256" s="97"/>
      <c r="C256" s="98"/>
      <c r="D256" s="98"/>
      <c r="E256" s="97"/>
      <c r="F256" s="98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</row>
    <row r="257" ht="14.25" customHeight="1">
      <c r="A257" s="97"/>
      <c r="B257" s="97"/>
      <c r="C257" s="98"/>
      <c r="D257" s="98"/>
      <c r="E257" s="97"/>
      <c r="F257" s="98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</row>
    <row r="258" ht="14.25" customHeight="1">
      <c r="A258" s="97"/>
      <c r="B258" s="97"/>
      <c r="C258" s="98"/>
      <c r="D258" s="98"/>
      <c r="E258" s="97"/>
      <c r="F258" s="98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</row>
    <row r="259" ht="14.25" customHeight="1">
      <c r="A259" s="97"/>
      <c r="B259" s="97"/>
      <c r="C259" s="98"/>
      <c r="D259" s="98"/>
      <c r="E259" s="97"/>
      <c r="F259" s="98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</row>
    <row r="260" ht="14.25" customHeight="1">
      <c r="A260" s="97"/>
      <c r="B260" s="97"/>
      <c r="C260" s="98"/>
      <c r="D260" s="98"/>
      <c r="E260" s="97"/>
      <c r="F260" s="98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</row>
    <row r="261" ht="14.25" customHeight="1">
      <c r="A261" s="97"/>
      <c r="B261" s="97"/>
      <c r="C261" s="98"/>
      <c r="D261" s="98"/>
      <c r="E261" s="97"/>
      <c r="F261" s="98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</row>
    <row r="262" ht="14.25" customHeight="1">
      <c r="A262" s="97"/>
      <c r="B262" s="97"/>
      <c r="C262" s="98"/>
      <c r="D262" s="98"/>
      <c r="E262" s="97"/>
      <c r="F262" s="98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</row>
    <row r="263" ht="14.25" customHeight="1">
      <c r="A263" s="97"/>
      <c r="B263" s="97"/>
      <c r="C263" s="98"/>
      <c r="D263" s="98"/>
      <c r="E263" s="97"/>
      <c r="F263" s="98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</row>
    <row r="264" ht="14.25" customHeight="1">
      <c r="A264" s="97"/>
      <c r="B264" s="97"/>
      <c r="C264" s="98"/>
      <c r="D264" s="98"/>
      <c r="E264" s="97"/>
      <c r="F264" s="98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</row>
    <row r="265" ht="14.25" customHeight="1">
      <c r="A265" s="97"/>
      <c r="B265" s="97"/>
      <c r="C265" s="98"/>
      <c r="D265" s="98"/>
      <c r="E265" s="97"/>
      <c r="F265" s="98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</row>
    <row r="266" ht="14.25" customHeight="1">
      <c r="A266" s="97"/>
      <c r="B266" s="97"/>
      <c r="C266" s="98"/>
      <c r="D266" s="98"/>
      <c r="E266" s="97"/>
      <c r="F266" s="98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</row>
    <row r="267" ht="14.25" customHeight="1">
      <c r="A267" s="97"/>
      <c r="B267" s="97"/>
      <c r="C267" s="98"/>
      <c r="D267" s="98"/>
      <c r="E267" s="97"/>
      <c r="F267" s="98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</row>
    <row r="268" ht="14.25" customHeight="1">
      <c r="A268" s="97"/>
      <c r="B268" s="97"/>
      <c r="C268" s="98"/>
      <c r="D268" s="98"/>
      <c r="E268" s="97"/>
      <c r="F268" s="98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</row>
    <row r="269" ht="14.25" customHeight="1">
      <c r="A269" s="97"/>
      <c r="B269" s="97"/>
      <c r="C269" s="98"/>
      <c r="D269" s="98"/>
      <c r="E269" s="97"/>
      <c r="F269" s="98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</row>
    <row r="270" ht="14.25" customHeight="1">
      <c r="A270" s="97"/>
      <c r="B270" s="97"/>
      <c r="C270" s="98"/>
      <c r="D270" s="98"/>
      <c r="E270" s="97"/>
      <c r="F270" s="98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</row>
    <row r="271" ht="14.25" customHeight="1">
      <c r="A271" s="97"/>
      <c r="B271" s="97"/>
      <c r="C271" s="98"/>
      <c r="D271" s="98"/>
      <c r="E271" s="97"/>
      <c r="F271" s="98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</row>
    <row r="272" ht="14.25" customHeight="1">
      <c r="A272" s="97"/>
      <c r="B272" s="97"/>
      <c r="C272" s="98"/>
      <c r="D272" s="98"/>
      <c r="E272" s="97"/>
      <c r="F272" s="98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</row>
    <row r="273" ht="14.25" customHeight="1">
      <c r="A273" s="97"/>
      <c r="B273" s="97"/>
      <c r="C273" s="98"/>
      <c r="D273" s="98"/>
      <c r="E273" s="97"/>
      <c r="F273" s="98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</row>
    <row r="274" ht="14.25" customHeight="1">
      <c r="A274" s="97"/>
      <c r="B274" s="97"/>
      <c r="C274" s="98"/>
      <c r="D274" s="98"/>
      <c r="E274" s="97"/>
      <c r="F274" s="98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</row>
    <row r="275" ht="14.25" customHeight="1">
      <c r="A275" s="97"/>
      <c r="B275" s="97"/>
      <c r="C275" s="98"/>
      <c r="D275" s="98"/>
      <c r="E275" s="97"/>
      <c r="F275" s="98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</row>
    <row r="276" ht="14.25" customHeight="1">
      <c r="A276" s="97"/>
      <c r="B276" s="97"/>
      <c r="C276" s="98"/>
      <c r="D276" s="98"/>
      <c r="E276" s="97"/>
      <c r="F276" s="98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</row>
    <row r="277" ht="14.25" customHeight="1">
      <c r="A277" s="97"/>
      <c r="B277" s="97"/>
      <c r="C277" s="98"/>
      <c r="D277" s="98"/>
      <c r="E277" s="97"/>
      <c r="F277" s="98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</row>
    <row r="278" ht="14.25" customHeight="1">
      <c r="A278" s="97"/>
      <c r="B278" s="97"/>
      <c r="C278" s="98"/>
      <c r="D278" s="98"/>
      <c r="E278" s="97"/>
      <c r="F278" s="98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</row>
    <row r="279" ht="14.25" customHeight="1">
      <c r="A279" s="97"/>
      <c r="B279" s="97"/>
      <c r="C279" s="98"/>
      <c r="D279" s="98"/>
      <c r="E279" s="97"/>
      <c r="F279" s="98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</row>
    <row r="280" ht="14.25" customHeight="1">
      <c r="A280" s="97"/>
      <c r="B280" s="97"/>
      <c r="C280" s="98"/>
      <c r="D280" s="98"/>
      <c r="E280" s="97"/>
      <c r="F280" s="98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</row>
    <row r="281" ht="14.25" customHeight="1">
      <c r="A281" s="97"/>
      <c r="B281" s="97"/>
      <c r="C281" s="98"/>
      <c r="D281" s="98"/>
      <c r="E281" s="97"/>
      <c r="F281" s="98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</row>
    <row r="282" ht="14.25" customHeight="1">
      <c r="A282" s="97"/>
      <c r="B282" s="97"/>
      <c r="C282" s="98"/>
      <c r="D282" s="98"/>
      <c r="E282" s="97"/>
      <c r="F282" s="98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</row>
    <row r="283" ht="14.25" customHeight="1">
      <c r="A283" s="97"/>
      <c r="B283" s="97"/>
      <c r="C283" s="98"/>
      <c r="D283" s="98"/>
      <c r="E283" s="97"/>
      <c r="F283" s="98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</row>
    <row r="284" ht="14.25" customHeight="1">
      <c r="A284" s="97"/>
      <c r="B284" s="97"/>
      <c r="C284" s="98"/>
      <c r="D284" s="98"/>
      <c r="E284" s="97"/>
      <c r="F284" s="98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</row>
    <row r="285" ht="14.25" customHeight="1">
      <c r="A285" s="97"/>
      <c r="B285" s="97"/>
      <c r="C285" s="98"/>
      <c r="D285" s="98"/>
      <c r="E285" s="97"/>
      <c r="F285" s="98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</row>
    <row r="286" ht="14.25" customHeight="1">
      <c r="A286" s="97"/>
      <c r="B286" s="97"/>
      <c r="C286" s="98"/>
      <c r="D286" s="98"/>
      <c r="E286" s="97"/>
      <c r="F286" s="98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</row>
    <row r="287" ht="14.25" customHeight="1">
      <c r="A287" s="97"/>
      <c r="B287" s="97"/>
      <c r="C287" s="98"/>
      <c r="D287" s="98"/>
      <c r="E287" s="97"/>
      <c r="F287" s="98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</row>
    <row r="288" ht="14.25" customHeight="1">
      <c r="A288" s="97"/>
      <c r="B288" s="97"/>
      <c r="C288" s="98"/>
      <c r="D288" s="98"/>
      <c r="E288" s="97"/>
      <c r="F288" s="98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</row>
    <row r="289" ht="14.25" customHeight="1">
      <c r="A289" s="97"/>
      <c r="B289" s="97"/>
      <c r="C289" s="98"/>
      <c r="D289" s="98"/>
      <c r="E289" s="97"/>
      <c r="F289" s="98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</row>
    <row r="290" ht="14.25" customHeight="1">
      <c r="A290" s="97"/>
      <c r="B290" s="97"/>
      <c r="C290" s="98"/>
      <c r="D290" s="98"/>
      <c r="E290" s="97"/>
      <c r="F290" s="98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</row>
    <row r="291" ht="14.25" customHeight="1">
      <c r="A291" s="97"/>
      <c r="B291" s="97"/>
      <c r="C291" s="98"/>
      <c r="D291" s="98"/>
      <c r="E291" s="97"/>
      <c r="F291" s="98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</row>
    <row r="292" ht="14.25" customHeight="1">
      <c r="A292" s="97"/>
      <c r="B292" s="97"/>
      <c r="C292" s="98"/>
      <c r="D292" s="98"/>
      <c r="E292" s="97"/>
      <c r="F292" s="98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</row>
    <row r="293" ht="14.25" customHeight="1">
      <c r="A293" s="97"/>
      <c r="B293" s="97"/>
      <c r="C293" s="98"/>
      <c r="D293" s="98"/>
      <c r="E293" s="97"/>
      <c r="F293" s="98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</row>
    <row r="294" ht="14.25" customHeight="1">
      <c r="A294" s="97"/>
      <c r="B294" s="97"/>
      <c r="C294" s="98"/>
      <c r="D294" s="98"/>
      <c r="E294" s="97"/>
      <c r="F294" s="98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</row>
    <row r="295" ht="14.25" customHeight="1">
      <c r="A295" s="97"/>
      <c r="B295" s="97"/>
      <c r="C295" s="98"/>
      <c r="D295" s="98"/>
      <c r="E295" s="97"/>
      <c r="F295" s="98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</row>
    <row r="296" ht="14.25" customHeight="1">
      <c r="A296" s="97"/>
      <c r="B296" s="97"/>
      <c r="C296" s="98"/>
      <c r="D296" s="98"/>
      <c r="E296" s="97"/>
      <c r="F296" s="98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</row>
    <row r="297" ht="14.25" customHeight="1">
      <c r="A297" s="97"/>
      <c r="B297" s="97"/>
      <c r="C297" s="98"/>
      <c r="D297" s="98"/>
      <c r="E297" s="97"/>
      <c r="F297" s="98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</row>
    <row r="298" ht="14.25" customHeight="1">
      <c r="A298" s="97"/>
      <c r="B298" s="97"/>
      <c r="C298" s="98"/>
      <c r="D298" s="98"/>
      <c r="E298" s="97"/>
      <c r="F298" s="98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</row>
    <row r="299" ht="14.25" customHeight="1">
      <c r="A299" s="97"/>
      <c r="B299" s="97"/>
      <c r="C299" s="98"/>
      <c r="D299" s="98"/>
      <c r="E299" s="97"/>
      <c r="F299" s="98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</row>
    <row r="300" ht="14.25" customHeight="1">
      <c r="A300" s="97"/>
      <c r="B300" s="97"/>
      <c r="C300" s="98"/>
      <c r="D300" s="98"/>
      <c r="E300" s="97"/>
      <c r="F300" s="98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</row>
    <row r="301" ht="14.25" customHeight="1">
      <c r="A301" s="97"/>
      <c r="B301" s="97"/>
      <c r="C301" s="98"/>
      <c r="D301" s="98"/>
      <c r="E301" s="97"/>
      <c r="F301" s="98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</row>
    <row r="302" ht="14.25" customHeight="1">
      <c r="A302" s="97"/>
      <c r="B302" s="97"/>
      <c r="C302" s="98"/>
      <c r="D302" s="98"/>
      <c r="E302" s="97"/>
      <c r="F302" s="98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</row>
    <row r="303" ht="14.25" customHeight="1">
      <c r="A303" s="97"/>
      <c r="B303" s="97"/>
      <c r="C303" s="98"/>
      <c r="D303" s="98"/>
      <c r="E303" s="97"/>
      <c r="F303" s="98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</row>
    <row r="304" ht="14.25" customHeight="1">
      <c r="A304" s="97"/>
      <c r="B304" s="97"/>
      <c r="C304" s="98"/>
      <c r="D304" s="98"/>
      <c r="E304" s="97"/>
      <c r="F304" s="98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</row>
    <row r="305" ht="14.25" customHeight="1">
      <c r="A305" s="97"/>
      <c r="B305" s="97"/>
      <c r="C305" s="98"/>
      <c r="D305" s="98"/>
      <c r="E305" s="97"/>
      <c r="F305" s="98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</row>
    <row r="306" ht="14.25" customHeight="1">
      <c r="A306" s="97"/>
      <c r="B306" s="97"/>
      <c r="C306" s="98"/>
      <c r="D306" s="98"/>
      <c r="E306" s="97"/>
      <c r="F306" s="98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</row>
    <row r="307" ht="14.25" customHeight="1">
      <c r="A307" s="97"/>
      <c r="B307" s="97"/>
      <c r="C307" s="98"/>
      <c r="D307" s="98"/>
      <c r="E307" s="97"/>
      <c r="F307" s="98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</row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7" width="8.63"/>
    <col customWidth="1" min="8" max="8" width="14.0"/>
    <col customWidth="1" min="9" max="9" width="11.0"/>
  </cols>
  <sheetData>
    <row r="1" ht="14.25" customHeight="1">
      <c r="A1" s="32" t="s">
        <v>753</v>
      </c>
      <c r="H1" s="3" t="s">
        <v>754</v>
      </c>
      <c r="I1" s="3" t="s">
        <v>755</v>
      </c>
    </row>
    <row r="2" ht="14.25" customHeight="1">
      <c r="A2" s="3" t="s">
        <v>756</v>
      </c>
      <c r="B2" s="3" t="s">
        <v>757</v>
      </c>
      <c r="C2" s="3" t="s">
        <v>758</v>
      </c>
      <c r="D2" s="3" t="s">
        <v>759</v>
      </c>
      <c r="H2" s="1" t="s">
        <v>30</v>
      </c>
      <c r="I2" s="3">
        <f>COUNTIF('נתוני זיהוי זאבים'!$D$2:$D$1048576, 'גרפים'!$H2)</f>
        <v>11</v>
      </c>
    </row>
    <row r="3" ht="14.25" customHeight="1">
      <c r="A3" s="3">
        <f>COUNTIF('נתוני זיהוי זאבים'!G:G, "*pack*")</f>
        <v>38</v>
      </c>
      <c r="B3" s="3">
        <f>COUNTIF('נתוני זיהוי זאבים'!G:G, "*group*")</f>
        <v>11</v>
      </c>
      <c r="C3" s="3">
        <f>COUNTIF('נתוני זיהוי זאבים'!G:G, "*unknown*")</f>
        <v>20</v>
      </c>
      <c r="D3" s="3">
        <f>COUNTIF('נתוני זיהוי זאבים'!G:G, "*lone*")</f>
        <v>21</v>
      </c>
      <c r="H3" s="2" t="s">
        <v>132</v>
      </c>
      <c r="I3" s="3">
        <f>COUNTIF('נתוני זיהוי זאבים'!$D$2:$D$1048576, 'גרפים'!$H3)</f>
        <v>5</v>
      </c>
    </row>
    <row r="4" ht="14.25" customHeight="1">
      <c r="H4" s="2" t="s">
        <v>169</v>
      </c>
      <c r="I4" s="3">
        <f>COUNTIF('נתוני זיהוי זאבים'!$D$2:$D$1048576, 'גרפים'!$H4)</f>
        <v>2</v>
      </c>
    </row>
    <row r="5" ht="14.25" customHeight="1">
      <c r="H5" s="2" t="s">
        <v>188</v>
      </c>
      <c r="I5" s="3">
        <f>COUNTIF('נתוני זיהוי זאבים'!$D$2:$D$1048576, 'גרפים'!$H5)</f>
        <v>4</v>
      </c>
    </row>
    <row r="6" ht="14.25" customHeight="1">
      <c r="H6" s="2" t="s">
        <v>213</v>
      </c>
      <c r="I6" s="3">
        <f>COUNTIF('נתוני זיהוי זאבים'!$D$2:$D$1048576, 'גרפים'!$H6)</f>
        <v>6</v>
      </c>
    </row>
    <row r="7" ht="14.25" customHeight="1">
      <c r="H7" s="2" t="s">
        <v>255</v>
      </c>
      <c r="I7" s="3">
        <f>COUNTIF('נתוני זיהוי זאבים'!$D$2:$D$1048576, 'גרפים'!$H7)</f>
        <v>22</v>
      </c>
    </row>
    <row r="8" ht="14.25" customHeight="1">
      <c r="H8" s="2" t="s">
        <v>445</v>
      </c>
      <c r="I8" s="3">
        <f>COUNTIF('נתוני זיהוי זאבים'!$D$2:$D$1048576, 'גרפים'!$H8)</f>
        <v>6</v>
      </c>
    </row>
    <row r="9" ht="14.25" customHeight="1">
      <c r="H9" s="2" t="s">
        <v>78</v>
      </c>
      <c r="I9" s="3">
        <f>COUNTIF('נתוני זיהוי זאבים'!$D$2:$D$1048576, 'גרפים'!$H9)</f>
        <v>17</v>
      </c>
    </row>
    <row r="10" ht="14.25" customHeight="1">
      <c r="H10" s="2" t="s">
        <v>561</v>
      </c>
      <c r="I10" s="3">
        <f>COUNTIF('נתוני זיהוי זאבים'!$D$2:$D$1048576, 'גרפים'!$H10)</f>
        <v>4</v>
      </c>
    </row>
    <row r="11" ht="14.25" customHeight="1">
      <c r="H11" s="2" t="s">
        <v>577</v>
      </c>
      <c r="I11" s="3">
        <f>COUNTIF('נתוני זיהוי זאבים'!$D$2:$D$1048576, 'גרפים'!$H11)</f>
        <v>2</v>
      </c>
    </row>
    <row r="12" ht="14.25" customHeight="1">
      <c r="H12" s="2" t="s">
        <v>394</v>
      </c>
      <c r="I12" s="3">
        <f>COUNTIF('נתוני זיהוי זאבים'!$D$2:$D$1048576, 'גרפים'!$H12)</f>
        <v>12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2021-12-02T14:34:47Z</dcterms:created>
  <dc:creator>TamarD12</dc:creator>
</cp:coreProperties>
</file>